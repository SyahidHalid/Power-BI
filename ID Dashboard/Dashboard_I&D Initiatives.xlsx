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3.xml" ContentType="application/vnd.openxmlformats-officedocument.spreadsheetml.table+xml"/>
  <Override PartName="/xl/tables/table4.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5.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tables/table6.xml" ContentType="application/vnd.openxmlformats-officedocument.spreadsheetml.table+xml"/>
  <Override PartName="/xl/comments5.xml" ContentType="application/vnd.openxmlformats-officedocument.spreadsheetml.comments+xml"/>
  <Override PartName="/xl/threadedComments/threadedComment5.xml" ContentType="application/vnd.ms-excel.threadedcomments+xml"/>
  <Override PartName="/xl/tables/table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bpmbgroup-my.sharepoint.com/personal/husnina_rosli_bpmb_com_my/Documents/Innovation &amp; Digital/I&amp;D Dashboard/"/>
    </mc:Choice>
  </mc:AlternateContent>
  <xr:revisionPtr revIDLastSave="1269" documentId="8_{F18F94E2-AED8-45EE-B83D-962F52B3B543}" xr6:coauthVersionLast="47" xr6:coauthVersionMax="47" xr10:uidLastSave="{E4B01212-DDB8-4EA1-BAC7-74F292D6E4FB}"/>
  <bookViews>
    <workbookView xWindow="28680" yWindow="-120" windowWidth="29040" windowHeight="15720" activeTab="6" xr2:uid="{78D88D12-AF5C-4E95-8972-D883E6AAACBB}"/>
  </bookViews>
  <sheets>
    <sheet name="Group BPMB" sheetId="5" r:id="rId1"/>
    <sheet name="BPMB" sheetId="6" r:id="rId2"/>
    <sheet name="oriBPMB " sheetId="3" state="hidden" r:id="rId3"/>
    <sheet name="EXIM" sheetId="7" r:id="rId4"/>
    <sheet name="oriEXIM" sheetId="4" state="hidden" r:id="rId5"/>
    <sheet name="SME" sheetId="9" r:id="rId6"/>
    <sheet name="Phases" sheetId="13" r:id="rId7"/>
  </sheets>
  <definedNames>
    <definedName name="_xlnm._FilterDatabase" localSheetId="2" hidden="1">#REF!</definedName>
    <definedName name="_xlnm._FilterDatabase" localSheetId="4"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31" i="13" l="1"/>
  <c r="B430" i="13"/>
  <c r="B429" i="13"/>
  <c r="B428" i="13"/>
  <c r="B427" i="13"/>
  <c r="B426" i="13"/>
  <c r="B425" i="13"/>
  <c r="B424" i="13"/>
  <c r="B423" i="13"/>
  <c r="B422" i="13"/>
  <c r="B421" i="13"/>
  <c r="B420" i="13"/>
  <c r="B419" i="13"/>
  <c r="B418" i="13"/>
  <c r="B417" i="13"/>
  <c r="B416" i="13"/>
  <c r="B415" i="13"/>
  <c r="B414" i="13"/>
  <c r="B413" i="13"/>
  <c r="B412" i="13"/>
  <c r="B411" i="13"/>
  <c r="B410" i="13"/>
  <c r="B409" i="13"/>
  <c r="B408" i="13"/>
  <c r="B407" i="13"/>
  <c r="B406" i="13"/>
  <c r="B405" i="13"/>
  <c r="B404" i="13"/>
  <c r="B403" i="13"/>
  <c r="B402" i="13"/>
  <c r="B401" i="13"/>
  <c r="B400" i="13"/>
  <c r="B399" i="13"/>
  <c r="B398" i="13"/>
  <c r="B397" i="13"/>
  <c r="B396" i="13"/>
  <c r="B395" i="13"/>
  <c r="B394" i="13"/>
  <c r="B393" i="13"/>
  <c r="B392" i="13"/>
  <c r="B391" i="13"/>
  <c r="B390" i="13"/>
  <c r="B389" i="13"/>
  <c r="B388" i="13"/>
  <c r="B387" i="13"/>
  <c r="B386" i="13"/>
  <c r="B385" i="13"/>
  <c r="B384" i="13"/>
  <c r="B383" i="13"/>
  <c r="B382" i="13"/>
  <c r="B381" i="13"/>
  <c r="B380" i="13"/>
  <c r="B379" i="13"/>
  <c r="B378" i="13"/>
  <c r="B377" i="13"/>
  <c r="B376" i="13"/>
  <c r="B375" i="13"/>
  <c r="B374" i="13"/>
  <c r="B373" i="13"/>
  <c r="B372" i="13"/>
  <c r="B371" i="13"/>
  <c r="B370" i="13"/>
  <c r="B369" i="13"/>
  <c r="B368" i="13"/>
  <c r="B367" i="13"/>
  <c r="B366" i="13"/>
  <c r="B365" i="13"/>
  <c r="B364" i="13"/>
  <c r="B363" i="13"/>
  <c r="B362" i="13"/>
  <c r="B361" i="13"/>
  <c r="B360" i="13"/>
  <c r="B359" i="13"/>
  <c r="B358" i="13"/>
  <c r="B357" i="13"/>
  <c r="B356" i="13"/>
  <c r="B355" i="13"/>
  <c r="B354" i="13"/>
  <c r="B353" i="13"/>
  <c r="B352" i="13"/>
  <c r="B351" i="13"/>
  <c r="B350" i="13"/>
  <c r="B349" i="13"/>
  <c r="B348" i="13"/>
  <c r="B347" i="13"/>
  <c r="B346" i="13"/>
  <c r="B345" i="13"/>
  <c r="B344" i="13"/>
  <c r="B343" i="13"/>
  <c r="B342" i="13"/>
  <c r="B341" i="13"/>
  <c r="B340" i="13"/>
  <c r="B339" i="13"/>
  <c r="B338" i="13"/>
  <c r="B337" i="13"/>
  <c r="B336" i="13"/>
  <c r="B335" i="13"/>
  <c r="B334" i="13"/>
  <c r="B333" i="13"/>
  <c r="B332" i="13"/>
  <c r="B331" i="13"/>
  <c r="B330" i="13"/>
  <c r="B329" i="13"/>
  <c r="B328" i="13"/>
  <c r="B327" i="13"/>
  <c r="B326" i="13"/>
  <c r="B325" i="13"/>
  <c r="B324" i="13"/>
  <c r="B323" i="13"/>
  <c r="B322" i="13"/>
  <c r="B321" i="13"/>
  <c r="B320" i="13"/>
  <c r="B319" i="13"/>
  <c r="B318" i="13"/>
  <c r="B317" i="13"/>
  <c r="B316" i="13"/>
  <c r="B315" i="13"/>
  <c r="B314" i="13"/>
  <c r="B313" i="13"/>
  <c r="B312" i="13"/>
  <c r="B311" i="13"/>
  <c r="B310" i="13"/>
  <c r="B309" i="13"/>
  <c r="B308" i="13"/>
  <c r="B307" i="13"/>
  <c r="B306" i="13"/>
  <c r="B305" i="13"/>
  <c r="B304" i="13"/>
  <c r="B303" i="13"/>
  <c r="B302" i="13"/>
  <c r="B301" i="13"/>
  <c r="B300" i="13"/>
  <c r="B299" i="13"/>
  <c r="B298" i="13"/>
  <c r="B297" i="13"/>
  <c r="B296" i="13"/>
  <c r="B295" i="13"/>
  <c r="B294" i="13"/>
  <c r="B293" i="13"/>
  <c r="B292" i="13"/>
  <c r="B291" i="13"/>
  <c r="B290" i="13"/>
  <c r="B289" i="13"/>
  <c r="B288" i="13"/>
  <c r="B287" i="13"/>
  <c r="B286" i="13"/>
  <c r="B285" i="13"/>
  <c r="B284" i="13"/>
  <c r="B283" i="13"/>
  <c r="B282" i="13"/>
  <c r="B281" i="13"/>
  <c r="B280" i="13"/>
  <c r="B279" i="13"/>
  <c r="B278" i="13"/>
  <c r="B277" i="13"/>
  <c r="B276" i="13"/>
  <c r="B275" i="13"/>
  <c r="B274" i="13"/>
  <c r="B273" i="13"/>
  <c r="B272" i="13"/>
  <c r="B271" i="13"/>
  <c r="B270" i="13"/>
  <c r="B269" i="13"/>
  <c r="B268" i="13"/>
  <c r="B267" i="13"/>
  <c r="B266" i="13"/>
  <c r="B265" i="13"/>
  <c r="B264" i="13"/>
  <c r="B263" i="13"/>
  <c r="B262" i="13"/>
  <c r="B261" i="13"/>
  <c r="B260" i="13"/>
  <c r="B259" i="13"/>
  <c r="B258" i="13"/>
  <c r="B257" i="13"/>
  <c r="B256" i="13"/>
  <c r="B255" i="13"/>
  <c r="B254" i="13"/>
  <c r="B253" i="13"/>
  <c r="B252" i="13"/>
  <c r="B251" i="13"/>
  <c r="B250" i="13"/>
  <c r="B249" i="13"/>
  <c r="B248" i="13"/>
  <c r="B247" i="13"/>
  <c r="B246" i="13"/>
  <c r="B245" i="13"/>
  <c r="B244" i="13"/>
  <c r="B243" i="13"/>
  <c r="B242" i="13"/>
  <c r="B241" i="13"/>
  <c r="B240" i="13"/>
  <c r="B239" i="13"/>
  <c r="B238" i="13"/>
  <c r="B237" i="13"/>
  <c r="B236" i="13"/>
  <c r="B235" i="13"/>
  <c r="B234" i="13"/>
  <c r="B233" i="13"/>
  <c r="B232" i="13"/>
  <c r="B231" i="13"/>
  <c r="B230" i="13"/>
  <c r="B229" i="13"/>
  <c r="B228" i="13"/>
  <c r="B227" i="13"/>
  <c r="B226" i="13"/>
  <c r="B225" i="13"/>
  <c r="B224" i="13"/>
  <c r="B223" i="13"/>
  <c r="B222" i="13"/>
  <c r="B221" i="13"/>
  <c r="B220" i="13"/>
  <c r="B219" i="13"/>
  <c r="B218" i="13"/>
  <c r="B217" i="13"/>
  <c r="B216" i="13"/>
  <c r="B215" i="13"/>
  <c r="B214" i="13"/>
  <c r="B213" i="13"/>
  <c r="B212" i="13"/>
  <c r="B211" i="13"/>
  <c r="B210" i="13"/>
  <c r="B209" i="13"/>
  <c r="B208" i="13"/>
  <c r="B207" i="13"/>
  <c r="B206" i="13"/>
  <c r="B205" i="13"/>
  <c r="B204" i="13"/>
  <c r="B203" i="13"/>
  <c r="B202" i="13"/>
  <c r="B201" i="13"/>
  <c r="B200" i="13"/>
  <c r="B199" i="13"/>
  <c r="B198" i="13"/>
  <c r="B197" i="13"/>
  <c r="B196" i="13"/>
  <c r="B195" i="13"/>
  <c r="B194" i="13"/>
  <c r="B193" i="13"/>
  <c r="B192" i="13"/>
  <c r="B191" i="13"/>
  <c r="B190" i="13"/>
  <c r="B189" i="13"/>
  <c r="B188" i="13"/>
  <c r="B187" i="13"/>
  <c r="B186" i="13"/>
  <c r="B185" i="13"/>
  <c r="B184" i="13"/>
  <c r="B183" i="13"/>
  <c r="B182" i="13"/>
  <c r="B181" i="13"/>
  <c r="B180" i="13"/>
  <c r="B179" i="13"/>
  <c r="B178" i="13"/>
  <c r="B177" i="13"/>
  <c r="B176" i="13"/>
  <c r="B175" i="13"/>
  <c r="B174" i="13"/>
  <c r="B173" i="13"/>
  <c r="B172" i="13"/>
  <c r="B171" i="13"/>
  <c r="B170" i="13"/>
  <c r="B169" i="13"/>
  <c r="B168" i="13"/>
  <c r="B167" i="13"/>
  <c r="B166" i="13"/>
  <c r="B165" i="13"/>
  <c r="B164" i="13"/>
  <c r="B163" i="13"/>
  <c r="B162" i="13"/>
  <c r="B161" i="13"/>
  <c r="B160" i="13"/>
  <c r="B159" i="13"/>
  <c r="B158" i="13"/>
  <c r="B157" i="13"/>
  <c r="B156" i="13"/>
  <c r="B155" i="13"/>
  <c r="B154" i="13"/>
  <c r="B153" i="13"/>
  <c r="B152" i="13"/>
  <c r="B151" i="13"/>
  <c r="B150" i="13"/>
  <c r="B149" i="13"/>
  <c r="B148" i="13"/>
  <c r="B147" i="13"/>
  <c r="B146" i="13"/>
  <c r="B145" i="13"/>
  <c r="B144" i="13"/>
  <c r="B143" i="13"/>
  <c r="B142" i="13"/>
  <c r="B141" i="13"/>
  <c r="B140" i="13"/>
  <c r="B139" i="13"/>
  <c r="B138" i="13"/>
  <c r="B137" i="13"/>
  <c r="B136" i="13"/>
  <c r="B135" i="13"/>
  <c r="B134" i="13"/>
  <c r="B133" i="13"/>
  <c r="B132" i="13"/>
  <c r="B131" i="13"/>
  <c r="B130" i="13"/>
  <c r="B129" i="13"/>
  <c r="B128" i="13"/>
  <c r="B127" i="13"/>
  <c r="B126" i="13"/>
  <c r="B125" i="13"/>
  <c r="B124" i="13"/>
  <c r="B123" i="13"/>
  <c r="B122" i="13"/>
  <c r="B121" i="13"/>
  <c r="B120" i="13"/>
  <c r="B119" i="13"/>
  <c r="B118" i="13"/>
  <c r="B117" i="13"/>
  <c r="B116" i="13"/>
  <c r="B115" i="13"/>
  <c r="B114" i="13"/>
  <c r="B113" i="13"/>
  <c r="B112" i="13"/>
  <c r="B111" i="13"/>
  <c r="B110" i="13"/>
  <c r="B109" i="13"/>
  <c r="B108" i="13"/>
  <c r="B107" i="13"/>
  <c r="B106" i="13"/>
  <c r="B105" i="13"/>
  <c r="B104" i="13"/>
  <c r="B103" i="13"/>
  <c r="B102" i="13"/>
  <c r="B101" i="13"/>
  <c r="B100" i="13"/>
  <c r="B99" i="13"/>
  <c r="B98" i="13"/>
  <c r="B97" i="13"/>
  <c r="B96" i="13"/>
  <c r="B95" i="13"/>
  <c r="B94" i="13"/>
  <c r="B93" i="13"/>
  <c r="B92" i="13"/>
  <c r="B91" i="13"/>
  <c r="B90" i="13"/>
  <c r="B89" i="13"/>
  <c r="B88" i="13"/>
  <c r="B87" i="13"/>
  <c r="B86" i="13"/>
  <c r="B85" i="13"/>
  <c r="B84" i="13"/>
  <c r="B83" i="13"/>
  <c r="B82" i="13"/>
  <c r="B81" i="13"/>
  <c r="B80" i="13"/>
  <c r="B79" i="13"/>
  <c r="B78" i="13"/>
  <c r="B77" i="13"/>
  <c r="B76" i="13"/>
  <c r="B75" i="13"/>
  <c r="B74" i="13"/>
  <c r="B73" i="13"/>
  <c r="B72" i="13"/>
  <c r="B71" i="13"/>
  <c r="B70" i="13"/>
  <c r="B69" i="13"/>
  <c r="B68" i="13"/>
  <c r="B67" i="13"/>
  <c r="B66" i="13"/>
  <c r="B65" i="13"/>
  <c r="B64" i="13"/>
  <c r="B63" i="13"/>
  <c r="B62" i="13"/>
  <c r="B61" i="13"/>
  <c r="B60" i="13"/>
  <c r="B59" i="13"/>
  <c r="B58" i="13"/>
  <c r="B57" i="13"/>
  <c r="B56" i="13"/>
  <c r="B55" i="13"/>
  <c r="B54" i="13"/>
  <c r="B53" i="13"/>
  <c r="B52" i="13"/>
  <c r="B51" i="13"/>
  <c r="B50" i="13"/>
  <c r="B49" i="13"/>
  <c r="B48" i="13"/>
  <c r="B47" i="13"/>
  <c r="B46" i="13"/>
  <c r="B45" i="13"/>
  <c r="B44" i="13"/>
  <c r="B43" i="13"/>
  <c r="B42" i="13"/>
  <c r="B41" i="13"/>
  <c r="B40" i="13"/>
  <c r="B39" i="13"/>
  <c r="B38" i="13"/>
  <c r="B37" i="13"/>
  <c r="B36" i="13"/>
  <c r="B35" i="13"/>
  <c r="B34" i="13"/>
  <c r="B33" i="13"/>
  <c r="B32" i="13"/>
  <c r="B31" i="13"/>
  <c r="B30" i="13"/>
  <c r="B29" i="13"/>
  <c r="B28" i="13"/>
  <c r="B27" i="13"/>
  <c r="B26" i="13"/>
  <c r="B25" i="13"/>
  <c r="B24" i="13"/>
  <c r="B23" i="13"/>
  <c r="B22" i="13"/>
  <c r="B21" i="13"/>
  <c r="B20" i="13"/>
  <c r="B19" i="13"/>
  <c r="B18" i="13"/>
  <c r="B17" i="13"/>
  <c r="B16" i="13"/>
  <c r="B15" i="13"/>
  <c r="B14" i="13"/>
  <c r="B13" i="13"/>
  <c r="B12" i="13"/>
  <c r="B11" i="13"/>
  <c r="B10" i="13"/>
  <c r="B9" i="13"/>
  <c r="B8" i="13"/>
  <c r="B7" i="13"/>
  <c r="B6" i="13"/>
  <c r="B5" i="13"/>
  <c r="B6" i="9"/>
  <c r="B7" i="9"/>
  <c r="B8" i="9"/>
  <c r="B9" i="9"/>
  <c r="B10" i="9"/>
  <c r="B11" i="9"/>
  <c r="B12" i="9"/>
  <c r="B5" i="9"/>
  <c r="B6" i="7"/>
  <c r="B7" i="7"/>
  <c r="B8" i="7"/>
  <c r="B9" i="7"/>
  <c r="B10" i="7"/>
  <c r="B11" i="7"/>
  <c r="B12" i="7"/>
  <c r="B13" i="7"/>
  <c r="B14" i="7"/>
  <c r="B15" i="7"/>
  <c r="B16" i="7"/>
  <c r="B17" i="7"/>
  <c r="B18" i="7"/>
  <c r="B19" i="7"/>
  <c r="B20" i="7"/>
  <c r="B21" i="7"/>
  <c r="B22" i="7"/>
  <c r="B23" i="7"/>
  <c r="B24" i="7"/>
  <c r="B25" i="7"/>
  <c r="B26" i="7"/>
  <c r="B27" i="7"/>
  <c r="B28" i="7"/>
  <c r="B29" i="7"/>
  <c r="B30" i="7"/>
  <c r="B5" i="7"/>
  <c r="B6" i="6"/>
  <c r="B7" i="6"/>
  <c r="B8" i="6"/>
  <c r="B9" i="6"/>
  <c r="B10" i="6"/>
  <c r="B11" i="6"/>
  <c r="B12" i="6"/>
  <c r="B13" i="6"/>
  <c r="B14" i="6"/>
  <c r="B15" i="6"/>
  <c r="B16" i="6"/>
  <c r="B17" i="6"/>
  <c r="B18" i="6"/>
  <c r="B19" i="6"/>
  <c r="B20" i="6"/>
  <c r="B21" i="6"/>
  <c r="B22" i="6"/>
  <c r="B23" i="6"/>
  <c r="B5" i="6"/>
  <c r="B6" i="5"/>
  <c r="B7" i="5"/>
  <c r="B8" i="5"/>
  <c r="B9" i="5"/>
  <c r="B10" i="5"/>
  <c r="B11" i="5"/>
  <c r="B12" i="5"/>
  <c r="B5" i="5"/>
  <c r="B23" i="3"/>
  <c r="B22" i="3"/>
  <c r="B30" i="4"/>
  <c r="B29" i="4"/>
  <c r="B28" i="4"/>
  <c r="B27" i="4"/>
  <c r="B26" i="4"/>
  <c r="B25" i="4"/>
  <c r="B24" i="4"/>
  <c r="B23" i="4"/>
  <c r="B22" i="4"/>
  <c r="B21" i="4"/>
  <c r="B20" i="4"/>
  <c r="B19" i="4"/>
  <c r="B18" i="4"/>
  <c r="B17" i="4"/>
  <c r="B16" i="4"/>
  <c r="B15" i="4"/>
  <c r="B14" i="4"/>
  <c r="B13" i="4"/>
  <c r="B12" i="4"/>
  <c r="B11" i="4"/>
  <c r="B10" i="4"/>
  <c r="B9" i="4"/>
  <c r="B8" i="4"/>
  <c r="B7" i="4"/>
  <c r="B6" i="4"/>
  <c r="B5" i="4"/>
  <c r="B21" i="3"/>
  <c r="B20" i="3"/>
  <c r="B19" i="3"/>
  <c r="B18" i="3"/>
  <c r="B17" i="3"/>
  <c r="B16" i="3"/>
  <c r="B15" i="3"/>
  <c r="B14" i="3"/>
  <c r="B13" i="3"/>
  <c r="B12" i="3"/>
  <c r="B11" i="3"/>
  <c r="B10" i="3"/>
  <c r="B9" i="3"/>
  <c r="B8" i="3"/>
  <c r="B7" i="3"/>
  <c r="B6" i="3"/>
  <c r="B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tc={1BDE60AB-D6CF-4955-841D-27E09DF89CE4}</author>
    <author>tc={29D736B8-BC7E-4EAF-B9DC-626B18735E90}</author>
  </authors>
  <commentList>
    <comment ref="F4" authorId="0" shapeId="0" xr:uid="{1BDE60AB-D6CF-4955-841D-27E09DF89CE4}">
      <text>
        <t>[Threaded comment]
Your version of Excel allows you to read this threaded comment; however, any edits to it will get removed if the file is opened in a newer version of Excel. Learn more: https://go.microsoft.com/fwlink/?linkid=870924
Comment:
    Function Owner</t>
      </text>
    </comment>
    <comment ref="N4" authorId="1" shapeId="0" xr:uid="{29D736B8-BC7E-4EAF-B9DC-626B18735E90}">
      <text>
        <t>[Threaded comment]
Your version of Excel allows you to read this threaded comment; however, any edits to it will get removed if the file is opened in a newer version of Excel. Learn more: https://go.microsoft.com/fwlink/?linkid=870924
Comment:
    Based on business perspectives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tc={AD41045A-C671-478F-A478-EABF1BE0782F}</author>
    <author>tc={41DEDD54-7C88-4390-8155-F843C1822D92}</author>
  </authors>
  <commentList>
    <comment ref="F4" authorId="0" shapeId="0" xr:uid="{AD41045A-C671-478F-A478-EABF1BE0782F}">
      <text>
        <t>[Threaded comment]
Your version of Excel allows you to read this threaded comment; however, any edits to it will get removed if the file is opened in a newer version of Excel. Learn more: https://go.microsoft.com/fwlink/?linkid=870924
Comment:
    Function Owner</t>
      </text>
    </comment>
    <comment ref="N4" authorId="1" shapeId="0" xr:uid="{41DEDD54-7C88-4390-8155-F843C1822D92}">
      <text>
        <t>[Threaded comment]
Your version of Excel allows you to read this threaded comment; however, any edits to it will get removed if the file is opened in a newer version of Excel. Learn more: https://go.microsoft.com/fwlink/?linkid=870924
Comment:
    Based on business perspectives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tc={07D96636-12FC-4D71-837D-C4B19089D2FF}</author>
    <author>tc={D084BDD4-3F78-4FCB-87E2-BEB9DE4B5AA9}</author>
  </authors>
  <commentList>
    <comment ref="F4" authorId="0" shapeId="0" xr:uid="{07D96636-12FC-4D71-837D-C4B19089D2FF}">
      <text>
        <t>[Threaded comment]
Your version of Excel allows you to read this threaded comment; however, any edits to it will get removed if the file is opened in a newer version of Excel. Learn more: https://go.microsoft.com/fwlink/?linkid=870924
Comment:
    Function Owner</t>
      </text>
    </comment>
    <comment ref="N4" authorId="1" shapeId="0" xr:uid="{D084BDD4-3F78-4FCB-87E2-BEB9DE4B5AA9}">
      <text>
        <t>[Threaded comment]
Your version of Excel allows you to read this threaded comment; however, any edits to it will get removed if the file is opened in a newer version of Excel. Learn more: https://go.microsoft.com/fwlink/?linkid=870924
Comment:
    Based on business perspectives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tc={755080F9-4EED-4904-8E92-1D24ECC40B1E}</author>
  </authors>
  <commentList>
    <comment ref="J4" authorId="0" shapeId="0" xr:uid="{755080F9-4EED-4904-8E92-1D24ECC40B1E}">
      <text>
        <t>[Threaded comment]
Your version of Excel allows you to read this threaded comment; however, any edits to it will get removed if the file is opened in a newer version of Excel. Learn more: https://go.microsoft.com/fwlink/?linkid=870924
Comment:
    From the business perspective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tc={7965652C-BE51-4148-9AB6-AD5441B25585}</author>
    <author>tc={2EE50337-5372-4905-9FEE-7FD81EA832DB}</author>
  </authors>
  <commentList>
    <comment ref="F4" authorId="0" shapeId="0" xr:uid="{7965652C-BE51-4148-9AB6-AD5441B25585}">
      <text>
        <t>[Threaded comment]
Your version of Excel allows you to read this threaded comment; however, any edits to it will get removed if the file is opened in a newer version of Excel. Learn more: https://go.microsoft.com/fwlink/?linkid=870924
Comment:
    Function Owner</t>
      </text>
    </comment>
    <comment ref="N4" authorId="1" shapeId="0" xr:uid="{2EE50337-5372-4905-9FEE-7FD81EA832DB}">
      <text>
        <t>[Threaded comment]
Your version of Excel allows you to read this threaded comment; however, any edits to it will get removed if the file is opened in a newer version of Excel. Learn more: https://go.microsoft.com/fwlink/?linkid=870924
Comment:
    Based on business perspectives</t>
      </text>
    </comment>
  </commentList>
</comments>
</file>

<file path=xl/sharedStrings.xml><?xml version="1.0" encoding="utf-8"?>
<sst xmlns="http://schemas.openxmlformats.org/spreadsheetml/2006/main" count="1439" uniqueCount="247">
  <si>
    <t>Group BPMB - Innovation &amp; Digital Initiatives List</t>
  </si>
  <si>
    <t xml:space="preserve">Initiatives ID </t>
  </si>
  <si>
    <t>Initiative Name</t>
  </si>
  <si>
    <t>Status (Completed / In Progress / Not Started)</t>
  </si>
  <si>
    <t>Description of Initiative</t>
  </si>
  <si>
    <t>Requester</t>
  </si>
  <si>
    <t>PIC</t>
  </si>
  <si>
    <t>Stakeholder</t>
  </si>
  <si>
    <t>Target Start</t>
  </si>
  <si>
    <t>Actual Start</t>
  </si>
  <si>
    <t>Target End</t>
  </si>
  <si>
    <t>Actual End</t>
  </si>
  <si>
    <t>Complexity (High/Medium/Low)</t>
  </si>
  <si>
    <t>Prioritisation (High/Medium/Low)</t>
  </si>
  <si>
    <t>Budget</t>
  </si>
  <si>
    <t>Group</t>
  </si>
  <si>
    <t>Remarks (Description of Status/RAID)</t>
  </si>
  <si>
    <t>Asset Tokenization</t>
  </si>
  <si>
    <t>In Progress</t>
  </si>
  <si>
    <t>Enable BPMB asset tokenization.</t>
  </si>
  <si>
    <t>GCEO Office</t>
  </si>
  <si>
    <t>Hasanal, Eskandar</t>
  </si>
  <si>
    <t>Group Operation, Corporate Banking</t>
  </si>
  <si>
    <t>High</t>
  </si>
  <si>
    <t>Group BPMB</t>
  </si>
  <si>
    <t>1. NDA signed, high level requirement defined, motioning with POC with D2G and KLDX.
2. Business case paper to be presented in EXCO July 2026.</t>
  </si>
  <si>
    <t xml:space="preserve">AI Infrastructure </t>
  </si>
  <si>
    <t>To establish AI infrastructure for AI R&amp;D and deployment, including a GPU-ready on-premises AI Lab.</t>
  </si>
  <si>
    <t>ID</t>
  </si>
  <si>
    <t>Azil, Borhan</t>
  </si>
  <si>
    <t>Technology Operation, GRM</t>
  </si>
  <si>
    <t>1. RFI stage to identify potential provider and solutions for the GaaS.
2. Discovery exercise with TM Credence to expand current SME IaaS for AI Data Lake and GaaS.
3. Exploring AI industry players such as AliBaba, CloudWise for AI tools/platform.</t>
  </si>
  <si>
    <t>BPMB Group AI Strategy &amp; Roadmap</t>
  </si>
  <si>
    <t>To formulate a holistic three-year AI strategy and roadmap for BPMB Group.</t>
  </si>
  <si>
    <t>GIT</t>
  </si>
  <si>
    <t>Eskandar, Najib</t>
  </si>
  <si>
    <t>EA, Technology Operation, IT Strategy Governance, GRM</t>
  </si>
  <si>
    <t>1. To retable the revised and refined AI Strategy &amp; Roadmap in September GMITC together with the Cloud Strategy Roadmap.</t>
  </si>
  <si>
    <t>Digital Awareness</t>
  </si>
  <si>
    <t>Not Started</t>
  </si>
  <si>
    <t>To elevate digital literacy across BPMB Group through technology updates, awareness sessions, and digital initiatives (e.g., AI Hackathon and Digital Day).</t>
  </si>
  <si>
    <t>Lukman, Najib</t>
  </si>
  <si>
    <t>Medium</t>
  </si>
  <si>
    <t>Planning Stage</t>
  </si>
  <si>
    <t>ELSA for BPMB Group</t>
  </si>
  <si>
    <t>To scale the ELSA platform across BPMB Group to optimise operations.</t>
  </si>
  <si>
    <t>Azil</t>
  </si>
  <si>
    <t>GIT, Corporate Banking, PLC, DANA, and others</t>
  </si>
  <si>
    <t xml:space="preserve">1. Current state information gathering on BPMB Group As-Is customer onboarding process and channels. </t>
  </si>
  <si>
    <t>AI Policy &amp; Guidelines</t>
  </si>
  <si>
    <t>To define and standardise AI guardrails for AI implementation and usage across BPMB Group.</t>
  </si>
  <si>
    <t>GRM</t>
  </si>
  <si>
    <t>Najib, Husainy</t>
  </si>
  <si>
    <t>IT Strategy Governance, GRM, ID</t>
  </si>
  <si>
    <t>1. Alignment with BPMB Group CISO on the AI standard framework (prepared by EY) shared by AICB.</t>
  </si>
  <si>
    <t>AI Community of Practice (AI COP)</t>
  </si>
  <si>
    <t>To establish an AI COP and learn from or share AI-related knowledge with members from various industries.</t>
  </si>
  <si>
    <t>Hairil, Eskandar</t>
  </si>
  <si>
    <t>AI Industry players, ABC</t>
  </si>
  <si>
    <t>1. First AI Business Chamber (ABC) conducted in early July 2026.</t>
  </si>
  <si>
    <t>PINTAR</t>
  </si>
  <si>
    <t>To scale PINTAR adoption across BPMB Group through the initial PGP Harmonisation use case (PINTAR.PGP).</t>
  </si>
  <si>
    <t>Lukman</t>
  </si>
  <si>
    <t>1. Transition handover to DevOps team to be conducted by end of July 2026.
2. Market Risk to become PINTAR.PGP champion to accelerate adoption.</t>
  </si>
  <si>
    <t>2026 BPMB - Innovation &amp; Digital Initiatives List</t>
  </si>
  <si>
    <t>AppRef Enhancement</t>
  </si>
  <si>
    <t>Completed</t>
  </si>
  <si>
    <t>Enhances Reference Number System dashboard with supervisor approvals and terminology</t>
  </si>
  <si>
    <t>Coverage</t>
  </si>
  <si>
    <t>Faizan</t>
  </si>
  <si>
    <t>Low</t>
  </si>
  <si>
    <t>BPMB</t>
  </si>
  <si>
    <t>Template Report for Commercial Banking Listing</t>
  </si>
  <si>
    <t>Automates preparation of Commercial Banking reports aligned with BNM guidelines</t>
  </si>
  <si>
    <t> Credit Admin</t>
  </si>
  <si>
    <t>Enhancement Service Requisition</t>
  </si>
  <si>
    <t>Enhances handling of failed requests and missing notifications in Iron Mountain service</t>
  </si>
  <si>
    <t>Husnina</t>
  </si>
  <si>
    <t>Corporate Hospitality &amp; Entertainment (CHE) Form</t>
  </si>
  <si>
    <t>To digitalize Corporate Hospitality &amp; Entertainment (CHE) Form for GCEO or CFO approval</t>
  </si>
  <si>
    <t>Compliance</t>
  </si>
  <si>
    <t>Izzat, Faizan</t>
  </si>
  <si>
    <t>ELMS Repayment Schedule /
Monthly Summary of Payment Schedule</t>
  </si>
  <si>
    <t> Format and calculate ELMS repayment schedule values</t>
  </si>
  <si>
    <t>Irfan</t>
  </si>
  <si>
    <t>CCRIS DQR1 Report Automation</t>
  </si>
  <si>
    <t xml:space="preserve"> To automate CCRIS DQR 1 for BNM monthly submission from ELMS </t>
  </si>
  <si>
    <t>Zakat Management Database &amp; Reporting</t>
  </si>
  <si>
    <t>Dashboard to analyse contributions to zakat projects</t>
  </si>
  <si>
    <t>Group Shariah Management</t>
  </si>
  <si>
    <t>Staff Loan Tracking - Log Platform</t>
  </si>
  <si>
    <t>Automate extracting payment schedules from HRMS into a data warehouse</t>
  </si>
  <si>
    <t>HR</t>
  </si>
  <si>
    <t>Irfan, Husnina</t>
  </si>
  <si>
    <t>Staff Loan Tracking - CCRIS SDIS Submission</t>
  </si>
  <si>
    <t>Automation to keep track of the logs of staff loan payment history</t>
  </si>
  <si>
    <t>Negative Listing Searches</t>
  </si>
  <si>
    <t>Automate the negative listing search process of identifying a hit against beneficiaries</t>
  </si>
  <si>
    <t>Credit Admin</t>
  </si>
  <si>
    <t>Details Statement of Account (Enhancement)</t>
  </si>
  <si>
    <t>Statement of Account enhancement: download statements for impaired active accounts</t>
  </si>
  <si>
    <t>Daily Disbursement &amp; Payment Report</t>
  </si>
  <si>
    <t>Automate generating detail  movement/listing of each  Disbursement &amp; Collection on daily basis</t>
  </si>
  <si>
    <t>Disbursement Documentation Filling</t>
  </si>
  <si>
    <t>Automate the upload and transfer of disbursement documents between sharepoint sites</t>
  </si>
  <si>
    <t>Payment Schedule Enhancement</t>
  </si>
  <si>
    <t>Payment Schedule enhancement: change how certain values are calculated</t>
  </si>
  <si>
    <t>Auto-Generated Email Reminder</t>
  </si>
  <si>
    <t>Send email reminders to RMs and BPMB clients based on deal status</t>
  </si>
  <si>
    <t>Corporate Banking</t>
  </si>
  <si>
    <t>Elysian Recoveries Script Enhancement</t>
  </si>
  <si>
    <t>ELMS Elysian extractions enhancement: change filtering for account status</t>
  </si>
  <si>
    <t>Finance</t>
  </si>
  <si>
    <t>Customer Screening Automation LEA</t>
  </si>
  <si>
    <t>Automate screening of customer data in ELMS against list provided by law enforcement agencies</t>
  </si>
  <si>
    <t>PINTAR.Procurement</t>
  </si>
  <si>
    <t>AI Assistant that enables users to ask questions in plain language and instantly receive accurate, relevant answers drawn from a curated knowledge base of BPMB procurement policy documents</t>
  </si>
  <si>
    <t>Strategic Procurement</t>
  </si>
  <si>
    <t>PINTAR.MarketRisk</t>
  </si>
  <si>
    <t>AI Assistant to assist the Market Risk team by retrieving relevant answers from Market Risk policy documents</t>
  </si>
  <si>
    <t>Market Risk</t>
  </si>
  <si>
    <t>2026 BPMB Process Initiatives – Completed and Planned</t>
  </si>
  <si>
    <t>No</t>
  </si>
  <si>
    <t>Status (Completed / Planned)</t>
  </si>
  <si>
    <t>Owner / PIC</t>
  </si>
  <si>
    <t>Expected Impact (Business / Cost / Efficiency)</t>
  </si>
  <si>
    <t>Timeline
(Start Date &amp; End Date)</t>
  </si>
  <si>
    <t>Remarks</t>
  </si>
  <si>
    <t>Q1 2026</t>
  </si>
  <si>
    <t>Izzat
Faizan</t>
  </si>
  <si>
    <t>Planned</t>
  </si>
  <si>
    <t> </t>
  </si>
  <si>
    <t>Q2 2026</t>
  </si>
  <si>
    <t>Q3 2026</t>
  </si>
  <si>
    <t>Irfan
Husnina</t>
  </si>
  <si>
    <t>Q4 2026</t>
  </si>
  <si>
    <t>Med</t>
  </si>
  <si>
    <t>2026 EXIM - Innovation &amp; Digital Initiatives List</t>
  </si>
  <si>
    <t xml:space="preserve">ECR Interface (Disbursement/Drawdown) to swift
</t>
  </si>
  <si>
    <t xml:space="preserve">to generate MX swift format file for disbursement/drowdown transactions and interface to the Swift Saa System
</t>
  </si>
  <si>
    <t>Rozaimi</t>
  </si>
  <si>
    <t>EXIM</t>
  </si>
  <si>
    <t>MIS &amp; ECITS Enhancement - Centralized CIF</t>
  </si>
  <si>
    <t>to Centralize CIF module at MIS system</t>
  </si>
  <si>
    <t>Finance &amp; Compliance</t>
  </si>
  <si>
    <t>Afif</t>
  </si>
  <si>
    <t>EFMS -  Purchase New AA requirement</t>
  </si>
  <si>
    <t>New Approval Authority requirement in EFMS system</t>
  </si>
  <si>
    <t>Procurement</t>
  </si>
  <si>
    <t>MIS - Annual Review Reminder Enhancement</t>
  </si>
  <si>
    <t>Annual Review Reminder Enhancement</t>
  </si>
  <si>
    <t>Banking</t>
  </si>
  <si>
    <t>Alifah</t>
  </si>
  <si>
    <t>JasperReport- Compliance ECR to BNM</t>
  </si>
  <si>
    <t>New Report request by Comliance Department</t>
  </si>
  <si>
    <t>COD</t>
  </si>
  <si>
    <t>Alifah, Syahid</t>
  </si>
  <si>
    <t xml:space="preserve">MIS - BNM exchange rate integration  </t>
  </si>
  <si>
    <t xml:space="preserve">Auto pickup BNM rate through BNM Open Api </t>
  </si>
  <si>
    <t>Copilot Studio Agent (Ex-cellence)</t>
  </si>
  <si>
    <t>An AI Assistant for ITD team in decision making, instruction and documentation</t>
  </si>
  <si>
    <t>ITD</t>
  </si>
  <si>
    <t>Syahid</t>
  </si>
  <si>
    <t>Technology Refresh :MS SQL upgrade for ECITS system</t>
  </si>
  <si>
    <t>MS SQL upgrade for ECITS system (Support)</t>
  </si>
  <si>
    <t>IT/COD</t>
  </si>
  <si>
    <t>Technology Refresh :MS SQL upgrade for ECR system</t>
  </si>
  <si>
    <t>MS SQL upgrade for ECR system (Support)</t>
  </si>
  <si>
    <t>Power BI - Monthly Reporting of Trade Finance (EXCO - other matter)</t>
  </si>
  <si>
    <t>Dashboard &amp; Reporting</t>
  </si>
  <si>
    <t>Power BI - Monthly Reporting of Non Trade Finance (EXCO - other matter)</t>
  </si>
  <si>
    <t>EFMS - Digitilise Pantry Request Form</t>
  </si>
  <si>
    <t>Digitilise Pantry Request Form (WorkFlow)</t>
  </si>
  <si>
    <t>Admin</t>
  </si>
  <si>
    <t>efms - Digitilise Stationary Request Form</t>
  </si>
  <si>
    <t>Digitilise Stationary Request Form (WorkFlow)</t>
  </si>
  <si>
    <t>ECITS  - Enhancement : Apprroval Process Digitilization</t>
  </si>
  <si>
    <t>Digitilise Approval Process in System</t>
  </si>
  <si>
    <t>Awang</t>
  </si>
  <si>
    <t>MIS - Automation for Credit Limit – Connected Party Transaction</t>
  </si>
  <si>
    <t>Reporting</t>
  </si>
  <si>
    <t>Risk</t>
  </si>
  <si>
    <t>MIS - Trade Customer Monthly Statement</t>
  </si>
  <si>
    <t xml:space="preserve">Automate Trade Monthly Statement </t>
  </si>
  <si>
    <t>ECR - new reminder redemption report sent to email for ECR bank on maturity date</t>
  </si>
  <si>
    <t>Automate Submit reminder to ECR bank on the Bills Maturity</t>
  </si>
  <si>
    <t>In-House Microsoft 365 Compliant Passwordless Login</t>
  </si>
  <si>
    <t>Enable sso login with device's pin code</t>
  </si>
  <si>
    <t>IT</t>
  </si>
  <si>
    <t>Python - CCRIS Template Download</t>
  </si>
  <si>
    <t>ECITS Enhancement- Go Export Subsidies</t>
  </si>
  <si>
    <t>New requirment to enhance policy premium with Go Export Subsidies</t>
  </si>
  <si>
    <t>EFMS - Document Box Tracker</t>
  </si>
  <si>
    <t>Digitilise Admin Document Movement (Workflow)</t>
  </si>
  <si>
    <t>Power BI - Business Performance</t>
  </si>
  <si>
    <t>Power BI - Product Profitability</t>
  </si>
  <si>
    <t>Product</t>
  </si>
  <si>
    <t>Centralized CIF : ECITS integration with Core Banking</t>
  </si>
  <si>
    <t>to Centralize CIF module at Core Banking system</t>
  </si>
  <si>
    <t>ALL</t>
  </si>
  <si>
    <t>Centralized CIF : ECR integration with Core Banking</t>
  </si>
  <si>
    <t>Machine Learning Application (Regression)</t>
  </si>
  <si>
    <t>Mathematical modelling in prediction requirement for the desired outcome</t>
  </si>
  <si>
    <t>2026 EXIM Business Process Initiatives – Completed and Planned</t>
  </si>
  <si>
    <t>Efficiency</t>
  </si>
  <si>
    <t>Business</t>
  </si>
  <si>
    <t>Alifah &amp; Syahid</t>
  </si>
  <si>
    <t>afif</t>
  </si>
  <si>
    <t>rozaimi</t>
  </si>
  <si>
    <t>awang</t>
  </si>
  <si>
    <t>alifah</t>
  </si>
  <si>
    <t>2026 SME - Innovation &amp; Digital Initiatives List</t>
  </si>
  <si>
    <t>Unified Data Platform</t>
  </si>
  <si>
    <t>Data driven financing pipeline, Unified DW/DM</t>
  </si>
  <si>
    <t>CEDAR, SME Bank (SDS)</t>
  </si>
  <si>
    <t>SME</t>
  </si>
  <si>
    <t>ELSA Enhancement</t>
  </si>
  <si>
    <t>ELSA apps enhancement</t>
  </si>
  <si>
    <t>Automation Disbursement</t>
  </si>
  <si>
    <t>To accelerate the disbursement process and implement thorough document validation to mitigate fraud risks.</t>
  </si>
  <si>
    <t>Operation Management</t>
  </si>
  <si>
    <t>Nadiah, Azil</t>
  </si>
  <si>
    <t>Single Point of Truth (SPOT)</t>
  </si>
  <si>
    <t>SPOT as strategic tool by SME Bank to accelerate vetting, enhance risk assessment, and improve customer experience.</t>
  </si>
  <si>
    <t>Techpedia 4.0</t>
  </si>
  <si>
    <t>The project enhances the existing Techpedia  system with Project Mapping, Online Technical Request, and Financial Dashboard modules to improve monitoring, digital processes, reporting, and operational efficiency.</t>
  </si>
  <si>
    <t>Credit</t>
  </si>
  <si>
    <t>Faiz, Asyraf, Danisha</t>
  </si>
  <si>
    <t>Development Stage</t>
  </si>
  <si>
    <t>VAPT Tracker</t>
  </si>
  <si>
    <t>The VAPT Tracking System is a web-based platform to automate VAPT findings tracking, remediation monitoring, notifications, and reporting. The system improves monitoring efficiency, stakeholder visibility, and security governance through centralized management and secure access controls.</t>
  </si>
  <si>
    <t>IT Security</t>
  </si>
  <si>
    <t>Regional Buyer Database System</t>
  </si>
  <si>
    <t>The RENA Buyer Registration &amp; Matching System (BRS) is a web-based system that automates buyer registration, property matching, and notification to agents based on buyer preferences.</t>
  </si>
  <si>
    <t>SME Bank - RAM</t>
  </si>
  <si>
    <t>Digitized Tender Evaluation</t>
  </si>
  <si>
    <t>The Tender Evaluation System is a secure digital platform to replace manual Excel-based tender evaluations. The system automates score calculations, standardises scoring, controls user access, maintains audit trails, and improves accuracy, transparency, and procurement governance.</t>
  </si>
  <si>
    <t>Phases</t>
  </si>
  <si>
    <t>Progress</t>
  </si>
  <si>
    <t>01 - Initiation &amp; Requirements</t>
  </si>
  <si>
    <t>02 - Assessment</t>
  </si>
  <si>
    <t>03 - Design &amp; Development</t>
  </si>
  <si>
    <t>04 - SIT</t>
  </si>
  <si>
    <t>05 - UAT</t>
  </si>
  <si>
    <t>06 - Deployment</t>
  </si>
  <si>
    <t>07 - Hypercare</t>
  </si>
  <si>
    <t>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</si>
</sst>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RM-4409]#,##0.00"/>
    <numFmt numFmtId="165" formatCode="&quot;RM&quot;#,##0.00"/>
    <numFmt numFmtId="166" formatCode="[$-14409]d/m/yyyy;@"/>
    <numFmt numFmtId="167" formatCode="dd/mm/yyyy"/>
  </numFmts>
  <fonts count="8" x14ac:knownFonts="1">
    <font>
      <sz val="11"/>
      <color theme="1"/>
      <name val="Calibri"/>
      <family val="2"/>
      <scheme val="minor"/>
    </font>
    <font>
      <sz val="11"/>
      <color rgb="FF000000"/>
      <name val="Aptos Narrow"/>
      <family val="2"/>
    </font>
    <font>
      <b/>
      <sz val="11"/>
      <color rgb="FF000000"/>
      <name val="Aptos Narrow"/>
      <family val="2"/>
    </font>
    <font>
      <sz val="11"/>
      <color rgb="FF000000"/>
      <name val="Aptos Narrow"/>
      <family val="2"/>
    </font>
    <font>
      <b/>
      <sz val="18"/>
      <color theme="1"/>
      <name val="Calibri"/>
      <family val="2"/>
      <scheme val="minor"/>
    </font>
    <font>
      <b/>
      <sz val="18"/>
      <color rgb="FF000000"/>
      <name val="Calibri"/>
      <family val="2"/>
    </font>
    <font>
      <b/>
      <sz val="11"/>
      <color rgb="FF000000"/>
      <name val="Aptos Narrow"/>
      <family val="2"/>
    </font>
    <font>
      <sz val="11"/>
      <color rgb="FF000000"/>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rgb="FFB4C6E7"/>
        <bgColor rgb="FF000000"/>
      </patternFill>
    </fill>
  </fills>
  <borders count="24">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
      <left style="thin">
        <color indexed="64"/>
      </left>
      <right style="thin">
        <color indexed="64"/>
      </right>
      <top/>
      <bottom/>
      <diagonal/>
    </border>
    <border>
      <left style="thin">
        <color rgb="FF000000"/>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style="thin">
        <color rgb="FF000000"/>
      </left>
      <right/>
      <top/>
      <bottom style="thin">
        <color rgb="FF000000"/>
      </bottom>
      <diagonal/>
    </border>
    <border>
      <left style="thin">
        <color rgb="FF000000"/>
      </left>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39">
    <xf numFmtId="0" fontId="0" fillId="0" borderId="0" xfId="0"/>
    <xf numFmtId="0" fontId="0" fillId="0" borderId="0" xfId="0" applyAlignment="1">
      <alignment horizontal="center"/>
    </xf>
    <xf numFmtId="0" fontId="0" fillId="0" borderId="0" xfId="0" applyAlignment="1">
      <alignment vertical="center" wrapText="1"/>
    </xf>
    <xf numFmtId="0" fontId="1" fillId="0" borderId="1" xfId="0" applyFont="1" applyBorder="1" applyAlignment="1">
      <alignment vertical="center" wrapText="1"/>
    </xf>
    <xf numFmtId="0" fontId="0" fillId="0" borderId="0" xfId="0" applyAlignment="1">
      <alignment vertical="center"/>
    </xf>
    <xf numFmtId="0" fontId="0" fillId="0" borderId="0" xfId="0" applyAlignment="1">
      <alignment horizontal="center" vertical="center"/>
    </xf>
    <xf numFmtId="0" fontId="3" fillId="0" borderId="2" xfId="0" applyFont="1" applyBorder="1" applyAlignment="1">
      <alignment horizontal="center" vertical="center"/>
    </xf>
    <xf numFmtId="0" fontId="1" fillId="0" borderId="2" xfId="0" applyFont="1" applyBorder="1" applyAlignment="1">
      <alignment horizontal="center" vertical="center"/>
    </xf>
    <xf numFmtId="0" fontId="1" fillId="0" borderId="2" xfId="0" applyFont="1" applyBorder="1" applyAlignment="1">
      <alignment vertical="center"/>
    </xf>
    <xf numFmtId="0" fontId="3" fillId="0" borderId="2" xfId="0" applyFont="1" applyBorder="1" applyAlignment="1">
      <alignment vertical="center" wrapText="1"/>
    </xf>
    <xf numFmtId="0" fontId="1" fillId="0" borderId="3" xfId="0" applyFont="1" applyBorder="1" applyAlignment="1">
      <alignment vertical="center"/>
    </xf>
    <xf numFmtId="0" fontId="3" fillId="0" borderId="2" xfId="0" applyFont="1" applyBorder="1" applyAlignment="1">
      <alignment vertical="center"/>
    </xf>
    <xf numFmtId="0" fontId="1" fillId="0" borderId="2" xfId="0" applyFont="1" applyBorder="1" applyAlignment="1">
      <alignment vertical="center" wrapText="1"/>
    </xf>
    <xf numFmtId="0" fontId="4" fillId="0" borderId="0" xfId="0" applyFont="1"/>
    <xf numFmtId="0" fontId="0" fillId="0" borderId="0" xfId="0" applyAlignment="1">
      <alignment wrapText="1"/>
    </xf>
    <xf numFmtId="0" fontId="2" fillId="3" borderId="2" xfId="0" applyFont="1" applyFill="1" applyBorder="1" applyAlignment="1">
      <alignment vertical="center" wrapText="1"/>
    </xf>
    <xf numFmtId="0" fontId="2" fillId="3" borderId="3" xfId="0" applyFont="1" applyFill="1" applyBorder="1" applyAlignment="1">
      <alignment vertical="center" wrapText="1"/>
    </xf>
    <xf numFmtId="0" fontId="1" fillId="0" borderId="5" xfId="0" applyFont="1" applyBorder="1" applyAlignment="1">
      <alignment horizontal="center" vertical="center"/>
    </xf>
    <xf numFmtId="0" fontId="1" fillId="0" borderId="5" xfId="0" applyFont="1" applyBorder="1" applyAlignment="1">
      <alignment vertical="center" wrapText="1"/>
    </xf>
    <xf numFmtId="0" fontId="1" fillId="0" borderId="5" xfId="0" applyFont="1" applyBorder="1" applyAlignment="1">
      <alignment vertical="center"/>
    </xf>
    <xf numFmtId="0" fontId="1" fillId="0" borderId="4" xfId="0" applyFont="1" applyBorder="1" applyAlignment="1">
      <alignment vertical="center"/>
    </xf>
    <xf numFmtId="0" fontId="1" fillId="0" borderId="4" xfId="0" applyFont="1" applyBorder="1" applyAlignment="1">
      <alignment vertical="center" wrapText="1"/>
    </xf>
    <xf numFmtId="0" fontId="5" fillId="0" borderId="0" xfId="0" applyFont="1"/>
    <xf numFmtId="0" fontId="1" fillId="0" borderId="4" xfId="0" applyFont="1" applyBorder="1" applyAlignment="1">
      <alignment horizontal="center" vertical="center"/>
    </xf>
    <xf numFmtId="0" fontId="2" fillId="3" borderId="5" xfId="0" applyFont="1" applyFill="1" applyBorder="1" applyAlignment="1">
      <alignment vertical="center" wrapText="1"/>
    </xf>
    <xf numFmtId="0" fontId="2" fillId="3" borderId="0" xfId="0" applyFont="1" applyFill="1" applyAlignment="1">
      <alignment vertical="center" wrapText="1"/>
    </xf>
    <xf numFmtId="0" fontId="0" fillId="0" borderId="4" xfId="0" applyBorder="1" applyAlignment="1">
      <alignment horizontal="left" vertical="center" wrapText="1"/>
    </xf>
    <xf numFmtId="0" fontId="1" fillId="0" borderId="0" xfId="0" applyFont="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2" fillId="3" borderId="9" xfId="0" applyFont="1" applyFill="1" applyBorder="1" applyAlignment="1">
      <alignment vertical="center" wrapText="1"/>
    </xf>
    <xf numFmtId="0" fontId="0" fillId="0" borderId="4" xfId="0" applyBorder="1" applyAlignment="1">
      <alignment vertical="center"/>
    </xf>
    <xf numFmtId="0" fontId="0" fillId="0" borderId="4" xfId="0" applyBorder="1" applyAlignment="1">
      <alignment vertical="center" wrapText="1"/>
    </xf>
    <xf numFmtId="0" fontId="1" fillId="0" borderId="10" xfId="0" applyFont="1" applyBorder="1" applyAlignment="1">
      <alignment vertical="center"/>
    </xf>
    <xf numFmtId="0" fontId="2" fillId="3" borderId="11" xfId="0" applyFont="1" applyFill="1" applyBorder="1" applyAlignment="1">
      <alignment vertical="center" wrapText="1"/>
    </xf>
    <xf numFmtId="0" fontId="6" fillId="3" borderId="5" xfId="0" applyFont="1" applyFill="1" applyBorder="1" applyAlignment="1">
      <alignment vertical="center" wrapText="1"/>
    </xf>
    <xf numFmtId="0" fontId="6" fillId="3" borderId="2" xfId="0" applyFont="1" applyFill="1" applyBorder="1" applyAlignment="1">
      <alignment vertical="center" wrapText="1"/>
    </xf>
    <xf numFmtId="0" fontId="1" fillId="0" borderId="12" xfId="0" applyFont="1" applyBorder="1" applyAlignment="1">
      <alignment vertical="center"/>
    </xf>
    <xf numFmtId="0" fontId="1" fillId="0" borderId="12" xfId="0" applyFont="1" applyBorder="1" applyAlignment="1">
      <alignment vertical="center" wrapText="1"/>
    </xf>
    <xf numFmtId="0" fontId="1" fillId="0" borderId="1" xfId="0" applyFont="1" applyBorder="1" applyAlignment="1">
      <alignment vertical="center"/>
    </xf>
    <xf numFmtId="0" fontId="3" fillId="0" borderId="1" xfId="0" applyFont="1" applyBorder="1" applyAlignment="1">
      <alignment vertical="center" wrapText="1"/>
    </xf>
    <xf numFmtId="0" fontId="3" fillId="0" borderId="1" xfId="0" applyFont="1" applyBorder="1" applyAlignment="1">
      <alignment vertical="center"/>
    </xf>
    <xf numFmtId="0" fontId="3" fillId="0" borderId="4" xfId="0" applyFont="1" applyBorder="1" applyAlignment="1">
      <alignment vertical="center"/>
    </xf>
    <xf numFmtId="17" fontId="0" fillId="0" borderId="1" xfId="0" applyNumberFormat="1" applyBorder="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center" vertical="center"/>
    </xf>
    <xf numFmtId="17" fontId="1" fillId="0" borderId="1" xfId="0" applyNumberFormat="1" applyFont="1" applyBorder="1" applyAlignment="1">
      <alignment horizontal="center" vertical="center"/>
    </xf>
    <xf numFmtId="17" fontId="1" fillId="0" borderId="1" xfId="0" applyNumberFormat="1" applyFont="1" applyBorder="1" applyAlignment="1">
      <alignment horizontal="center" vertical="center" wrapText="1"/>
    </xf>
    <xf numFmtId="17" fontId="1" fillId="0" borderId="4" xfId="0" applyNumberFormat="1" applyFont="1" applyBorder="1" applyAlignment="1">
      <alignment horizontal="center" vertical="center"/>
    </xf>
    <xf numFmtId="0" fontId="1" fillId="0" borderId="10" xfId="0" applyFont="1" applyBorder="1" applyAlignment="1">
      <alignment horizontal="center" vertical="center"/>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1" fillId="0" borderId="8" xfId="0" applyFont="1" applyBorder="1" applyAlignment="1">
      <alignment horizontal="center" vertical="center"/>
    </xf>
    <xf numFmtId="17" fontId="3" fillId="0" borderId="4" xfId="0" applyNumberFormat="1" applyFont="1" applyBorder="1" applyAlignment="1">
      <alignment horizontal="center" vertical="center"/>
    </xf>
    <xf numFmtId="0" fontId="1" fillId="0" borderId="4" xfId="0" applyFont="1" applyBorder="1" applyAlignment="1">
      <alignment horizontal="center" vertical="center" wrapText="1"/>
    </xf>
    <xf numFmtId="0" fontId="0" fillId="0" borderId="4" xfId="0" applyBorder="1" applyAlignment="1">
      <alignment horizontal="center" vertical="center"/>
    </xf>
    <xf numFmtId="17" fontId="0" fillId="0" borderId="4" xfId="0" applyNumberFormat="1" applyBorder="1" applyAlignment="1">
      <alignment horizontal="center" vertical="center"/>
    </xf>
    <xf numFmtId="17" fontId="1" fillId="0" borderId="4" xfId="0" applyNumberFormat="1" applyFont="1" applyBorder="1" applyAlignment="1">
      <alignment horizontal="center" vertical="center" wrapText="1"/>
    </xf>
    <xf numFmtId="164" fontId="0" fillId="0" borderId="0" xfId="0" applyNumberFormat="1"/>
    <xf numFmtId="164" fontId="1" fillId="0" borderId="1" xfId="0" applyNumberFormat="1" applyFont="1" applyBorder="1" applyAlignment="1">
      <alignment vertical="center" wrapText="1"/>
    </xf>
    <xf numFmtId="164" fontId="0" fillId="0" borderId="1" xfId="0" applyNumberFormat="1" applyBorder="1" applyAlignment="1">
      <alignment vertical="center"/>
    </xf>
    <xf numFmtId="164" fontId="0" fillId="0" borderId="0" xfId="0" applyNumberFormat="1" applyAlignment="1">
      <alignment vertical="center"/>
    </xf>
    <xf numFmtId="165" fontId="1" fillId="0" borderId="4" xfId="0" applyNumberFormat="1" applyFont="1" applyBorder="1" applyAlignment="1">
      <alignment vertical="center" wrapText="1"/>
    </xf>
    <xf numFmtId="165" fontId="0" fillId="0" borderId="4" xfId="0" applyNumberFormat="1" applyBorder="1" applyAlignment="1">
      <alignment vertical="center"/>
    </xf>
    <xf numFmtId="165" fontId="0" fillId="0" borderId="0" xfId="0" applyNumberFormat="1" applyAlignment="1">
      <alignment vertical="center"/>
    </xf>
    <xf numFmtId="165" fontId="0" fillId="0" borderId="0" xfId="0" applyNumberFormat="1"/>
    <xf numFmtId="165" fontId="1" fillId="0" borderId="1" xfId="0" applyNumberFormat="1" applyFont="1" applyBorder="1" applyAlignment="1">
      <alignment vertical="center" wrapText="1"/>
    </xf>
    <xf numFmtId="165" fontId="0" fillId="0" borderId="1" xfId="0" applyNumberFormat="1" applyBorder="1" applyAlignment="1">
      <alignment vertical="center"/>
    </xf>
    <xf numFmtId="165" fontId="0" fillId="0" borderId="6" xfId="0" applyNumberFormat="1" applyBorder="1" applyAlignment="1">
      <alignment vertical="center"/>
    </xf>
    <xf numFmtId="9" fontId="0" fillId="0" borderId="4" xfId="0" applyNumberFormat="1" applyBorder="1" applyAlignment="1">
      <alignment vertical="center"/>
    </xf>
    <xf numFmtId="9" fontId="1" fillId="0" borderId="1" xfId="0" applyNumberFormat="1" applyFont="1" applyBorder="1" applyAlignment="1">
      <alignment vertical="center" wrapText="1"/>
    </xf>
    <xf numFmtId="9" fontId="0" fillId="0" borderId="1" xfId="0" applyNumberFormat="1" applyBorder="1" applyAlignment="1">
      <alignment vertical="center"/>
    </xf>
    <xf numFmtId="9" fontId="0" fillId="0" borderId="0" xfId="0" applyNumberFormat="1" applyAlignment="1">
      <alignment vertical="center"/>
    </xf>
    <xf numFmtId="9" fontId="0" fillId="0" borderId="0" xfId="0" applyNumberFormat="1"/>
    <xf numFmtId="9" fontId="1" fillId="0" borderId="4" xfId="0" applyNumberFormat="1" applyFont="1" applyBorder="1" applyAlignment="1">
      <alignment vertical="center" wrapText="1"/>
    </xf>
    <xf numFmtId="9" fontId="0" fillId="0" borderId="6" xfId="0" applyNumberFormat="1" applyBorder="1" applyAlignment="1">
      <alignment vertical="center"/>
    </xf>
    <xf numFmtId="0" fontId="0" fillId="0" borderId="7" xfId="0" applyBorder="1" applyAlignment="1">
      <alignment vertical="center"/>
    </xf>
    <xf numFmtId="0" fontId="1" fillId="0" borderId="7" xfId="0" applyFont="1" applyBorder="1" applyAlignment="1">
      <alignment horizontal="center" vertical="center"/>
    </xf>
    <xf numFmtId="0" fontId="0" fillId="0" borderId="12" xfId="0" applyBorder="1" applyAlignment="1">
      <alignment vertical="center"/>
    </xf>
    <xf numFmtId="0" fontId="1" fillId="0" borderId="14" xfId="0" applyFont="1" applyBorder="1" applyAlignment="1">
      <alignment horizontal="center" vertical="center"/>
    </xf>
    <xf numFmtId="0" fontId="1" fillId="0" borderId="9" xfId="0" applyFont="1" applyBorder="1" applyAlignment="1">
      <alignment vertical="center"/>
    </xf>
    <xf numFmtId="0" fontId="1" fillId="0" borderId="14" xfId="0" applyFont="1" applyBorder="1" applyAlignment="1">
      <alignment vertical="center"/>
    </xf>
    <xf numFmtId="0" fontId="0" fillId="0" borderId="10" xfId="0" applyBorder="1" applyAlignment="1">
      <alignment vertical="center"/>
    </xf>
    <xf numFmtId="0" fontId="0" fillId="0" borderId="15" xfId="0" applyBorder="1" applyAlignment="1">
      <alignment vertical="center"/>
    </xf>
    <xf numFmtId="0" fontId="1" fillId="0" borderId="0" xfId="0" applyFont="1" applyAlignment="1">
      <alignment horizontal="center" vertical="center"/>
    </xf>
    <xf numFmtId="166" fontId="0" fillId="0" borderId="0" xfId="0" applyNumberFormat="1" applyAlignment="1">
      <alignment horizontal="left" vertical="center"/>
    </xf>
    <xf numFmtId="166" fontId="0" fillId="0" borderId="0" xfId="0" applyNumberFormat="1" applyAlignment="1">
      <alignment horizontal="left" vertical="center" wrapText="1"/>
    </xf>
    <xf numFmtId="0" fontId="2" fillId="2" borderId="11" xfId="0" applyFont="1" applyFill="1" applyBorder="1" applyAlignment="1">
      <alignment horizontal="center" vertical="center" wrapText="1"/>
    </xf>
    <xf numFmtId="0" fontId="2" fillId="2" borderId="11" xfId="0" applyFont="1" applyFill="1" applyBorder="1" applyAlignment="1">
      <alignment vertical="center" wrapText="1"/>
    </xf>
    <xf numFmtId="166" fontId="1" fillId="0" borderId="4" xfId="0" applyNumberFormat="1" applyFont="1" applyBorder="1" applyAlignment="1">
      <alignment horizontal="left" vertical="center"/>
    </xf>
    <xf numFmtId="166" fontId="1" fillId="0" borderId="4" xfId="0" applyNumberFormat="1" applyFont="1" applyBorder="1" applyAlignment="1">
      <alignment horizontal="left" vertical="center" wrapText="1"/>
    </xf>
    <xf numFmtId="0" fontId="1" fillId="0" borderId="4" xfId="0" applyFont="1" applyBorder="1" applyAlignment="1">
      <alignment horizontal="left" vertical="center" wrapText="1"/>
    </xf>
    <xf numFmtId="166" fontId="0" fillId="0" borderId="4" xfId="0" applyNumberFormat="1" applyBorder="1" applyAlignment="1">
      <alignment horizontal="left" vertical="center"/>
    </xf>
    <xf numFmtId="0" fontId="0" fillId="0" borderId="4" xfId="0" applyBorder="1" applyAlignment="1">
      <alignment horizontal="left" vertical="center"/>
    </xf>
    <xf numFmtId="166" fontId="0" fillId="0" borderId="7" xfId="0" applyNumberFormat="1" applyBorder="1" applyAlignment="1">
      <alignment horizontal="left" vertical="center"/>
    </xf>
    <xf numFmtId="0" fontId="0" fillId="0" borderId="7" xfId="0" applyBorder="1" applyAlignment="1">
      <alignment horizontal="left" vertical="center"/>
    </xf>
    <xf numFmtId="166" fontId="0" fillId="0" borderId="4" xfId="0" applyNumberFormat="1" applyBorder="1" applyAlignment="1">
      <alignment horizontal="left" vertical="center" wrapText="1"/>
    </xf>
    <xf numFmtId="166" fontId="0" fillId="0" borderId="7" xfId="0" applyNumberFormat="1" applyBorder="1" applyAlignment="1">
      <alignment horizontal="left" vertical="center" wrapText="1"/>
    </xf>
    <xf numFmtId="166" fontId="0" fillId="0" borderId="12" xfId="0" applyNumberFormat="1" applyBorder="1" applyAlignment="1">
      <alignment horizontal="left" vertical="center"/>
    </xf>
    <xf numFmtId="166" fontId="0" fillId="0" borderId="12" xfId="0" applyNumberFormat="1" applyBorder="1" applyAlignment="1">
      <alignment horizontal="left" vertical="center" wrapText="1"/>
    </xf>
    <xf numFmtId="0" fontId="0" fillId="0" borderId="12" xfId="0" applyBorder="1" applyAlignment="1">
      <alignment horizontal="left" vertical="center"/>
    </xf>
    <xf numFmtId="166" fontId="0" fillId="0" borderId="9" xfId="0" applyNumberFormat="1" applyBorder="1" applyAlignment="1">
      <alignment horizontal="left" vertical="center"/>
    </xf>
    <xf numFmtId="166" fontId="0" fillId="0" borderId="9" xfId="0" applyNumberFormat="1" applyBorder="1" applyAlignment="1">
      <alignment horizontal="left" vertical="center" wrapText="1"/>
    </xf>
    <xf numFmtId="166" fontId="0" fillId="0" borderId="16" xfId="0" applyNumberFormat="1" applyBorder="1" applyAlignment="1">
      <alignment horizontal="left" vertical="center"/>
    </xf>
    <xf numFmtId="0" fontId="0" fillId="0" borderId="8" xfId="0" applyBorder="1" applyAlignment="1">
      <alignment horizontal="left" vertical="center"/>
    </xf>
    <xf numFmtId="166" fontId="0" fillId="0" borderId="8" xfId="0" applyNumberFormat="1" applyBorder="1" applyAlignment="1">
      <alignment horizontal="left" vertical="center"/>
    </xf>
    <xf numFmtId="166" fontId="0" fillId="0" borderId="8" xfId="0" applyNumberFormat="1" applyBorder="1" applyAlignment="1">
      <alignment horizontal="left" vertical="center" wrapText="1"/>
    </xf>
    <xf numFmtId="167" fontId="7" fillId="0" borderId="1" xfId="0" applyNumberFormat="1" applyFont="1" applyBorder="1"/>
    <xf numFmtId="0" fontId="0" fillId="0" borderId="17" xfId="0" applyBorder="1" applyAlignment="1">
      <alignment horizontal="left" vertical="center"/>
    </xf>
    <xf numFmtId="167" fontId="7" fillId="0" borderId="6" xfId="0" applyNumberFormat="1" applyFont="1" applyBorder="1"/>
    <xf numFmtId="0" fontId="0" fillId="0" borderId="18" xfId="0" applyBorder="1" applyAlignment="1">
      <alignment horizontal="left" vertical="center"/>
    </xf>
    <xf numFmtId="0" fontId="0" fillId="0" borderId="0" xfId="0" applyAlignment="1">
      <alignment horizontal="left"/>
    </xf>
    <xf numFmtId="0" fontId="6" fillId="2" borderId="11" xfId="0" applyFont="1" applyFill="1" applyBorder="1" applyAlignment="1">
      <alignment vertical="center" wrapText="1"/>
    </xf>
    <xf numFmtId="0" fontId="0" fillId="0" borderId="7" xfId="0" applyBorder="1" applyAlignment="1">
      <alignment vertical="center" wrapText="1"/>
    </xf>
    <xf numFmtId="17" fontId="0" fillId="0" borderId="7" xfId="0" applyNumberFormat="1" applyBorder="1" applyAlignment="1">
      <alignment horizontal="center" vertical="center"/>
    </xf>
    <xf numFmtId="0" fontId="0" fillId="0" borderId="7" xfId="0" applyBorder="1" applyAlignment="1">
      <alignment horizontal="center" vertical="center"/>
    </xf>
    <xf numFmtId="165" fontId="0" fillId="0" borderId="7" xfId="0" applyNumberFormat="1" applyBorder="1" applyAlignment="1">
      <alignment vertical="center"/>
    </xf>
    <xf numFmtId="9" fontId="0" fillId="0" borderId="7" xfId="0" applyNumberFormat="1" applyBorder="1" applyAlignment="1">
      <alignment vertical="center"/>
    </xf>
    <xf numFmtId="165" fontId="1" fillId="0" borderId="7" xfId="0" applyNumberFormat="1" applyFont="1" applyBorder="1" applyAlignment="1">
      <alignment vertical="center" wrapText="1"/>
    </xf>
    <xf numFmtId="0" fontId="3" fillId="0" borderId="19" xfId="0" applyFont="1" applyBorder="1" applyAlignment="1">
      <alignment horizontal="center" vertical="center"/>
    </xf>
    <xf numFmtId="0" fontId="1" fillId="0" borderId="20" xfId="0" applyFont="1" applyBorder="1" applyAlignment="1">
      <alignment vertical="center" wrapText="1"/>
    </xf>
    <xf numFmtId="0" fontId="0" fillId="0" borderId="20" xfId="0" applyBorder="1" applyAlignment="1">
      <alignment vertical="center"/>
    </xf>
    <xf numFmtId="0" fontId="0" fillId="0" borderId="20" xfId="0" applyBorder="1" applyAlignment="1">
      <alignment vertical="center" wrapText="1"/>
    </xf>
    <xf numFmtId="0" fontId="2" fillId="2" borderId="2" xfId="0" applyFont="1" applyFill="1" applyBorder="1" applyAlignment="1">
      <alignment horizontal="center" vertical="center" wrapText="1"/>
    </xf>
    <xf numFmtId="0" fontId="2" fillId="2" borderId="9" xfId="0" applyFont="1" applyFill="1" applyBorder="1" applyAlignment="1">
      <alignment vertical="center" wrapText="1"/>
    </xf>
    <xf numFmtId="164" fontId="2" fillId="2" borderId="9" xfId="0" applyNumberFormat="1" applyFont="1" applyFill="1" applyBorder="1" applyAlignment="1">
      <alignment vertical="center" wrapText="1"/>
    </xf>
    <xf numFmtId="164" fontId="6" fillId="2" borderId="9" xfId="0" applyNumberFormat="1" applyFont="1" applyFill="1" applyBorder="1" applyAlignment="1">
      <alignment vertical="center" wrapText="1"/>
    </xf>
    <xf numFmtId="0" fontId="2" fillId="2" borderId="21" xfId="0" applyFont="1" applyFill="1" applyBorder="1" applyAlignment="1">
      <alignment vertical="center" wrapText="1"/>
    </xf>
    <xf numFmtId="0" fontId="3" fillId="0" borderId="22" xfId="0" applyFont="1" applyBorder="1" applyAlignment="1">
      <alignment horizontal="center" vertical="center"/>
    </xf>
    <xf numFmtId="0" fontId="1" fillId="0" borderId="6" xfId="0" applyFont="1" applyBorder="1" applyAlignment="1">
      <alignment vertical="center"/>
    </xf>
    <xf numFmtId="0" fontId="1" fillId="0" borderId="6" xfId="0" applyFont="1" applyBorder="1" applyAlignment="1">
      <alignment vertical="center" wrapText="1"/>
    </xf>
    <xf numFmtId="17" fontId="1" fillId="0" borderId="6" xfId="0" applyNumberFormat="1" applyFont="1" applyBorder="1" applyAlignment="1">
      <alignment horizontal="center" vertical="center"/>
    </xf>
    <xf numFmtId="0" fontId="1" fillId="0" borderId="6" xfId="0" applyFont="1" applyBorder="1" applyAlignment="1">
      <alignment horizontal="center" vertical="center"/>
    </xf>
    <xf numFmtId="0" fontId="0" fillId="0" borderId="6" xfId="0" applyBorder="1" applyAlignment="1">
      <alignment horizontal="center" vertical="center"/>
    </xf>
    <xf numFmtId="164" fontId="0" fillId="0" borderId="6" xfId="0" applyNumberFormat="1" applyBorder="1" applyAlignment="1">
      <alignment vertical="center"/>
    </xf>
    <xf numFmtId="164" fontId="1" fillId="0" borderId="6" xfId="0" applyNumberFormat="1" applyFont="1" applyBorder="1" applyAlignment="1">
      <alignment vertical="center" wrapText="1"/>
    </xf>
    <xf numFmtId="0" fontId="0" fillId="0" borderId="23" xfId="0" applyBorder="1" applyAlignment="1">
      <alignment vertical="center"/>
    </xf>
    <xf numFmtId="0" fontId="1" fillId="0" borderId="17" xfId="0" applyFont="1" applyBorder="1" applyAlignment="1">
      <alignment horizontal="center" vertical="center"/>
    </xf>
    <xf numFmtId="0" fontId="6" fillId="2" borderId="9" xfId="0" applyFont="1" applyFill="1" applyBorder="1" applyAlignment="1">
      <alignment vertical="center" wrapText="1"/>
    </xf>
  </cellXfs>
  <cellStyles count="1">
    <cellStyle name="Normal" xfId="0" builtinId="0"/>
  </cellStyles>
  <dxfs count="122">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000000"/>
        <name val="Aptos Narrow"/>
        <family val="2"/>
        <scheme val="none"/>
      </font>
      <numFmt numFmtId="165" formatCode="&quot;RM&quot;#,##0.0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3" formatCode="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quot;RM&quot;#,##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ptos Narrow"/>
        <family val="2"/>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family val="2"/>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family val="2"/>
        <scheme val="none"/>
      </font>
      <numFmt numFmtId="22" formatCode="mmm\-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family val="2"/>
        <scheme val="none"/>
      </font>
      <numFmt numFmtId="22" formatCode="mmm\-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family val="2"/>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family val="2"/>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family val="2"/>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family val="2"/>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family val="2"/>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family val="2"/>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family val="2"/>
        <scheme val="none"/>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indexed="64"/>
        </left>
        <right style="thin">
          <color indexed="64"/>
        </right>
        <top style="thin">
          <color indexed="64"/>
        </top>
      </border>
    </dxf>
    <dxf>
      <border outline="0">
        <bottom style="thin">
          <color indexed="64"/>
        </bottom>
      </border>
    </dxf>
    <dxf>
      <font>
        <b/>
        <i val="0"/>
        <strike val="0"/>
        <condense val="0"/>
        <extend val="0"/>
        <outline val="0"/>
        <shadow val="0"/>
        <u val="none"/>
        <vertAlign val="baseline"/>
        <sz val="11"/>
        <color rgb="FF000000"/>
        <name val="Aptos Narrow"/>
        <family val="2"/>
        <scheme val="none"/>
      </font>
      <fill>
        <patternFill patternType="solid">
          <fgColor indexed="64"/>
          <bgColor theme="4" tint="0.59999389629810485"/>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family val="2"/>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rgb="FF000000"/>
        <name val="Aptos Narrow"/>
        <scheme val="none"/>
      </font>
      <fill>
        <patternFill patternType="solid">
          <fgColor rgb="FF000000"/>
          <bgColor rgb="FFB4C6E7"/>
        </patternFill>
      </fill>
      <alignment horizontal="general" vertical="center" textRotation="0" wrapText="1" indent="0" justifyLastLine="0" shrinkToFit="0" readingOrder="0"/>
      <border diagonalUp="0" diagonalDown="0">
        <left style="thin">
          <color indexed="64"/>
        </left>
        <right style="thin">
          <color indexed="64"/>
        </right>
        <top/>
        <bottom/>
      </border>
    </dxf>
    <dxf>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000000"/>
        <name val="Aptos Narrow"/>
        <family val="2"/>
        <scheme val="none"/>
      </font>
      <numFmt numFmtId="165" formatCode="&quot;RM&quot;#,##0.0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3" formatCode="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quot;RM&quot;#,##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ptos Narrow"/>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ptos Narrow"/>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ptos Narrow"/>
        <family val="2"/>
        <scheme val="none"/>
      </font>
      <alignment horizontal="center"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family val="2"/>
        <scheme val="none"/>
      </font>
      <numFmt numFmtId="22" formatCode="mmm\-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family val="2"/>
        <scheme val="none"/>
      </font>
      <numFmt numFmtId="22" formatCode="mmm\-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family val="2"/>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family val="2"/>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family val="2"/>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family val="2"/>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family val="2"/>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family val="2"/>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family val="2"/>
        <scheme val="none"/>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indexed="64"/>
        </left>
        <right style="thin">
          <color indexed="64"/>
        </right>
        <top style="thin">
          <color indexed="64"/>
        </top>
      </border>
    </dxf>
    <dxf>
      <border outline="0">
        <bottom style="thin">
          <color indexed="64"/>
        </bottom>
      </border>
    </dxf>
    <dxf>
      <font>
        <b/>
        <i val="0"/>
        <strike val="0"/>
        <condense val="0"/>
        <extend val="0"/>
        <outline val="0"/>
        <shadow val="0"/>
        <u val="none"/>
        <vertAlign val="baseline"/>
        <sz val="11"/>
        <color rgb="FF000000"/>
        <name val="Aptos Narrow"/>
        <family val="2"/>
        <scheme val="none"/>
      </font>
      <fill>
        <patternFill patternType="solid">
          <fgColor indexed="64"/>
          <bgColor theme="4" tint="0.59999389629810485"/>
        </patternFill>
      </fill>
      <alignment horizontal="general"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Aptos Narrow"/>
        <family val="2"/>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center" textRotation="0" wrapText="0"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center" vertical="center" textRotation="0" wrapText="0" indent="0" justifyLastLine="0" shrinkToFit="0" readingOrder="0"/>
      <border diagonalUp="0" diagonalDown="0">
        <left/>
        <right style="thin">
          <color indexed="64"/>
        </right>
        <top/>
        <bottom style="thin">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rgb="FF000000"/>
        <name val="Aptos Narrow"/>
        <scheme val="none"/>
      </font>
      <fill>
        <patternFill patternType="solid">
          <fgColor rgb="FF000000"/>
          <bgColor rgb="FFB4C6E7"/>
        </patternFill>
      </fill>
      <alignment horizontal="general" vertical="center" textRotation="0" wrapText="1" indent="0" justifyLastLine="0" shrinkToFit="0" readingOrder="0"/>
      <border diagonalUp="0" diagonalDown="0">
        <left style="thin">
          <color indexed="64"/>
        </left>
        <right style="thin">
          <color indexed="64"/>
        </right>
        <top/>
        <bottom/>
      </border>
    </dxf>
    <dxf>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000000"/>
        <name val="Aptos Narrow"/>
        <family val="2"/>
        <scheme val="none"/>
      </font>
      <numFmt numFmtId="164" formatCode="[$RM-4409]#,##0.0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3" formatCode="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RM-4409]#,##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ptos Narrow"/>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ptos Narrow"/>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ptos Narrow"/>
        <family val="2"/>
        <scheme val="none"/>
      </font>
      <numFmt numFmtId="22" formatCode="mmm\-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ptos Narrow"/>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ptos Narrow"/>
        <family val="2"/>
        <scheme val="none"/>
      </font>
      <numFmt numFmtId="22" formatCode="mmm\-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ptos Narrow"/>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ptos Narrow"/>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ptos Narrow"/>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ptos Narrow"/>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ptos Narrow"/>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ptos Narrow"/>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ptos Narrow"/>
        <family val="2"/>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000000"/>
        <name val="Aptos Narrow"/>
        <family val="2"/>
        <scheme val="none"/>
      </font>
      <numFmt numFmtId="164" formatCode="[$RM-4409]#,##0.00"/>
      <fill>
        <patternFill patternType="solid">
          <fgColor indexed="64"/>
          <bgColor theme="4" tint="0.59999389629810485"/>
        </patternFill>
      </fill>
      <alignment horizontal="general" vertical="center" textRotation="0" wrapText="1" indent="0" justifyLastLine="0" shrinkToFit="0" readingOrder="0"/>
      <border diagonalUp="0" diagonalDown="0" outline="0">
        <left style="thin">
          <color indexed="64"/>
        </left>
        <right style="thin">
          <color indexed="64"/>
        </right>
        <top/>
        <bottom/>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family val="2"/>
        <scheme val="none"/>
      </font>
      <numFmt numFmtId="165" formatCode="&quot;RM&quot;#,##0.00"/>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3" formatCode="0%"/>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65" formatCode="&quot;RM&quot;#,##0.00"/>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22" formatCode="mmm\-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22" formatCode="mmm\-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22" formatCode="mmm\-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i val="0"/>
        <strike val="0"/>
        <condense val="0"/>
        <extend val="0"/>
        <outline val="0"/>
        <shadow val="0"/>
        <u val="none"/>
        <vertAlign val="baseline"/>
        <sz val="11"/>
        <color rgb="FF000000"/>
        <name val="Aptos Narrow"/>
        <family val="2"/>
        <scheme val="none"/>
      </font>
      <fill>
        <patternFill patternType="solid">
          <fgColor indexed="64"/>
          <bgColor theme="4" tint="0.59999389629810485"/>
        </patternFill>
      </fill>
      <alignment horizontal="general" vertical="center" textRotation="0" wrapText="1" indent="0" justifyLastLine="0" shrinkToFit="0" readingOrder="0"/>
      <border diagonalUp="0" diagonalDown="0" outline="0">
        <left style="thin">
          <color indexed="64"/>
        </left>
        <right style="thin">
          <color indexed="64"/>
        </right>
        <top/>
        <bottom/>
      </border>
    </dxf>
    <dxf>
      <alignment horizontal="left" textRotation="0" indent="0" justifyLastLine="0" shrinkToFit="0" readingOrder="0"/>
    </dxf>
    <dxf>
      <numFmt numFmtId="166" formatCode="[$-14409]d/m/yyyy;@"/>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numFmt numFmtId="166" formatCode="[$-14409]d/m/yyyy;@"/>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numFmt numFmtId="166" formatCode="[$-14409]d/m/yyyy;@"/>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numFmt numFmtId="166" formatCode="[$-14409]d/m/yyyy;@"/>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general" vertical="center" textRotation="0" wrapText="0" indent="0" justifyLastLine="0" shrinkToFit="0" readingOrder="0"/>
    </dxf>
    <dxf>
      <font>
        <b/>
        <i val="0"/>
        <strike val="0"/>
        <condense val="0"/>
        <extend val="0"/>
        <outline val="0"/>
        <shadow val="0"/>
        <u val="none"/>
        <vertAlign val="baseline"/>
        <sz val="11"/>
        <color rgb="FF000000"/>
        <name val="Aptos Narrow"/>
        <scheme val="none"/>
      </font>
      <fill>
        <patternFill patternType="solid">
          <fgColor indexed="64"/>
          <bgColor theme="4" tint="0.59999389629810485"/>
        </patternFill>
      </fill>
      <alignment horizontal="general"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Nur Husnina Binti Rosli" id="{70268BD8-95EC-486B-987E-6E386A1EAF74}" userId="S::husnina.rosli@bpmb.com.my::f528b763-8bb3-4887-bb62-7e133e7362b5" providerId="AD"/>
  <person displayName="Nur Husnina Binti Rosli" id="{C54475BD-18F4-4D65-9B54-DB432C916B9E}" userId="S::husnina.rosli_bpmb.com.my#ext#@smebank.onmicrosoft.com::94f32780-c57d-451f-8601-b63f1bee3cb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F71511B-50E3-4701-A1C8-0FB01738489A}" name="GoupBPMB" displayName="GoupBPMB" ref="B4:R12" totalsRowShown="0" headerRowDxfId="111" tableBorderDxfId="110">
  <autoFilter ref="B4:R12" xr:uid="{4F71511B-50E3-4701-A1C8-0FB01738489A}"/>
  <tableColumns count="17">
    <tableColumn id="1" xr3:uid="{5EC1E687-57D1-4682-88C5-F124547AD402}" name="Initiatives ID " dataDxfId="109">
      <calculatedColumnFormula>"IDG"&amp;TEXT(ROW(A1),"000")</calculatedColumnFormula>
    </tableColumn>
    <tableColumn id="2" xr3:uid="{A6AC8296-A425-4C19-B976-777BC731EEC5}" name="Initiative Name" dataDxfId="108"/>
    <tableColumn id="3" xr3:uid="{348AFB16-5A9A-45F2-A183-F53178CDFA47}" name="Status (Completed / In Progress / Not Started)" dataDxfId="107"/>
    <tableColumn id="4" xr3:uid="{B138CEEC-4995-4CE4-B685-CAF10BEE33B8}" name="Description of Initiative" dataDxfId="106"/>
    <tableColumn id="5" xr3:uid="{603D710A-F04D-4E06-8C07-DADDF869984D}" name="Requester" dataDxfId="105"/>
    <tableColumn id="6" xr3:uid="{CFAAC8D5-22A8-4A9E-936C-93AAEEC13D16}" name="PIC" dataDxfId="104"/>
    <tableColumn id="7" xr3:uid="{4A9CD953-0A9C-49E0-A5B4-FB80624A5EFE}" name="Stakeholder" dataDxfId="103"/>
    <tableColumn id="8" xr3:uid="{56FF28E1-8861-4672-88D0-3E7DFD947984}" name="Target Start" dataDxfId="102"/>
    <tableColumn id="9" xr3:uid="{B886F149-DBC2-43C0-BFE4-7F444E403A88}" name="Actual Start" dataDxfId="101"/>
    <tableColumn id="10" xr3:uid="{5BC92845-C879-4A4D-B6B5-4F1564F286A6}" name="Target End" dataDxfId="100"/>
    <tableColumn id="11" xr3:uid="{EBD2FC02-4982-489B-88E6-E2237A8D00C5}" name="Actual End" dataDxfId="99"/>
    <tableColumn id="12" xr3:uid="{DBEF3F87-5150-492C-B480-A733C20C1031}" name="Complexity (High/Medium/Low)" dataDxfId="98"/>
    <tableColumn id="13" xr3:uid="{47291964-D8EE-4F47-9F71-FBC7D60CEF8C}" name="Prioritisation (High/Medium/Low)" dataDxfId="97"/>
    <tableColumn id="14" xr3:uid="{16DC897F-7B67-4A84-8974-014DE2A98797}" name="Budget" dataDxfId="96"/>
    <tableColumn id="15" xr3:uid="{298A4D91-4957-45E8-9422-2D28F280FE9C}" name="Progress" dataDxfId="95"/>
    <tableColumn id="16" xr3:uid="{7B49DFF9-F92D-4331-8C3B-A334F5A828F4}" name="Group" dataDxfId="94"/>
    <tableColumn id="17" xr3:uid="{9CA66DB6-0882-4B38-BCC3-C87ACB8100DA}" name="Remarks (Description of Status/RAID)" dataDxfId="9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D7D364D-1DC6-44BD-9931-D90B4B57990D}" name="BPMB" displayName="BPMB" ref="B4:R23" totalsRowShown="0" headerRowDxfId="92" headerRowBorderDxfId="91" tableBorderDxfId="90" totalsRowBorderDxfId="89">
  <autoFilter ref="B4:R23" xr:uid="{AD7D364D-1DC6-44BD-9931-D90B4B57990D}"/>
  <tableColumns count="17">
    <tableColumn id="1" xr3:uid="{4CEC8326-53C0-4548-9E34-0EA8798CE287}" name="Initiatives ID " dataDxfId="88">
      <calculatedColumnFormula>"IDB"&amp;TEXT(ROW(A1),"000")</calculatedColumnFormula>
    </tableColumn>
    <tableColumn id="2" xr3:uid="{E6148FC4-E3E2-48ED-B94B-D6FF19DA092D}" name="Initiative Name" dataDxfId="87"/>
    <tableColumn id="3" xr3:uid="{304DF2D9-E0D3-4577-A9AB-45623C98CA7B}" name="Status (Completed / In Progress / Not Started)" dataDxfId="86"/>
    <tableColumn id="4" xr3:uid="{BA63EA2D-24AE-4AA7-9E77-6A1CD8CDA35E}" name="Description of Initiative" dataDxfId="85"/>
    <tableColumn id="5" xr3:uid="{C46B381F-4D8E-4423-B9F2-5AAE110EF563}" name="Requester" dataDxfId="84"/>
    <tableColumn id="6" xr3:uid="{7E9B7112-1A38-4336-9185-EDECB6D2AC13}" name="PIC" dataDxfId="83"/>
    <tableColumn id="7" xr3:uid="{05A1F293-BC05-4018-BED7-558AFFBD6263}" name="Stakeholder" dataDxfId="82"/>
    <tableColumn id="8" xr3:uid="{B81BD9F9-1FD8-42A2-9730-0B57616AD17B}" name="Target Start" dataDxfId="81"/>
    <tableColumn id="9" xr3:uid="{B859A2D8-4D7D-43E1-9E90-39CBEA634E40}" name="Actual Start" dataDxfId="80"/>
    <tableColumn id="10" xr3:uid="{E514E5DD-3DA1-41E0-A76F-6314E8C8AA87}" name="Target End" dataDxfId="79"/>
    <tableColumn id="11" xr3:uid="{B939EAFF-D464-47D0-B704-49532D984FCB}" name="Actual End" dataDxfId="78"/>
    <tableColumn id="12" xr3:uid="{AAD6EBE1-AABB-4DB3-A5B6-92B6FA3DDEBA}" name="Complexity (High/Medium/Low)" dataDxfId="77"/>
    <tableColumn id="13" xr3:uid="{2086DBFC-AF09-4FAA-AEDB-10DC26960F50}" name="Prioritisation (High/Medium/Low)" dataDxfId="76"/>
    <tableColumn id="14" xr3:uid="{299DF64E-052F-41AD-BD86-F31AB36B2ABF}" name="Budget" dataDxfId="75"/>
    <tableColumn id="15" xr3:uid="{F2F90E1B-560B-43A3-A400-BD5B53F90D6E}" name="Progress" dataDxfId="74"/>
    <tableColumn id="16" xr3:uid="{A66E75D0-5C3E-4DC8-B280-07345DC15BD7}" name="Group" dataDxfId="73"/>
    <tableColumn id="17" xr3:uid="{F3C19A5A-EECC-414E-B466-A4A24A5A8A75}" name="Remarks (Description of Status/RAID)" dataDxfId="7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310C929-1729-429A-9732-9E3D10A7684D}" name="Table13" displayName="Table13" ref="B4:M23" totalsRowShown="0" headerRowDxfId="71" dataDxfId="69" headerRowBorderDxfId="70" tableBorderDxfId="68">
  <autoFilter ref="B4:M23" xr:uid="{7E5356C9-387E-4A6A-86C5-3B672BB39783}"/>
  <tableColumns count="12">
    <tableColumn id="1" xr3:uid="{79236DFA-5D34-4549-948B-5D0AB277F13B}" name="No" dataDxfId="67">
      <calculatedColumnFormula>ROW() - ROW(Table13[[#Headers],[No]])</calculatedColumnFormula>
    </tableColumn>
    <tableColumn id="2" xr3:uid="{48C6F38A-3483-45B8-A640-270033211618}" name="Initiative Name" dataDxfId="66"/>
    <tableColumn id="3" xr3:uid="{72312578-3201-4FC2-99AD-2956804EF583}" name="Status (Completed / Planned)" dataDxfId="65"/>
    <tableColumn id="4" xr3:uid="{252C62FD-4262-4A99-BCAE-EC12B187F367}" name="Description of Initiative" dataDxfId="64"/>
    <tableColumn id="5" xr3:uid="{85A4886B-9638-407C-8936-4FF43F74A422}" name="Owner / PIC" dataDxfId="63"/>
    <tableColumn id="6" xr3:uid="{6D50FD0F-5F97-4885-AA70-DBE9E8BE52A4}" name="Stakeholder" dataDxfId="62"/>
    <tableColumn id="7" xr3:uid="{69B38ED2-5F38-479D-A0CE-CA9782535B86}" name="Expected Impact (Business / Cost / Efficiency)" dataDxfId="61"/>
    <tableColumn id="8" xr3:uid="{BD0C2AD3-AC46-4097-A008-329E7F76EDF8}" name="Complexity (High/Medium/Low)" dataDxfId="60"/>
    <tableColumn id="11" xr3:uid="{4DF21594-E497-49B0-95BF-2F1BE603F6A1}" name="Prioritisation (High/Medium/Low)" dataDxfId="59"/>
    <tableColumn id="9" xr3:uid="{F3587F0B-DA8D-4E0E-9D6B-B4FA22A49843}" name="Timeline_x000a_(Start Date &amp; End Date)" dataDxfId="58"/>
    <tableColumn id="10" xr3:uid="{4F8EA0FB-4A2C-45DC-BD96-3CEC67ECED73}" name="Remarks" dataDxfId="57"/>
    <tableColumn id="12" xr3:uid="{097BE156-4108-418E-BAD7-1F446CC97991}" name="Budget" dataDxfId="5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DADB89-D933-40E8-9EE8-2D80B448FF5F}" name="EXIM" displayName="EXIM" ref="B4:R30" totalsRowShown="0" headerRowDxfId="55" headerRowBorderDxfId="54" tableBorderDxfId="53">
  <autoFilter ref="B4:R30" xr:uid="{B4DADB89-D933-40E8-9EE8-2D80B448FF5F}"/>
  <tableColumns count="17">
    <tableColumn id="1" xr3:uid="{4BC82241-FFC5-4368-B217-82976732F33F}" name="Initiatives ID " dataDxfId="52">
      <calculatedColumnFormula>"IDE"&amp;TEXT(ROW(A1),"000")</calculatedColumnFormula>
    </tableColumn>
    <tableColumn id="2" xr3:uid="{D2305B23-F0C4-4360-8DAF-ED7655BA365D}" name="Initiative Name" dataDxfId="51"/>
    <tableColumn id="3" xr3:uid="{3CE3A55D-F922-4BC2-B620-69E84D0A5476}" name="Status (Completed / In Progress / Not Started)" dataDxfId="50"/>
    <tableColumn id="4" xr3:uid="{973FEE41-72FE-471A-9EC1-26C2CAD3BC9F}" name="Description of Initiative" dataDxfId="49"/>
    <tableColumn id="5" xr3:uid="{DF72081B-ADF6-4CA8-B4CD-D45A1AFD51FE}" name="Requester" dataDxfId="48"/>
    <tableColumn id="6" xr3:uid="{5376671C-D63E-4EB8-89A2-3DF5F5C1CE5F}" name="PIC" dataDxfId="47"/>
    <tableColumn id="7" xr3:uid="{D49EF02B-9C94-4CE7-8B52-A2B926123780}" name="Stakeholder" dataDxfId="46"/>
    <tableColumn id="8" xr3:uid="{EE951108-DD90-4323-B7DD-79627EE719E8}" name="Target Start" dataDxfId="45"/>
    <tableColumn id="9" xr3:uid="{AF1D7D15-C31B-4EC1-AE2F-09F1784A90DF}" name="Actual Start" dataDxfId="44"/>
    <tableColumn id="10" xr3:uid="{1BC16578-5A37-43A6-804E-C358D9165498}" name="Target End" dataDxfId="43"/>
    <tableColumn id="11" xr3:uid="{CD4ED198-8B39-4CF1-B806-48A7079976D2}" name="Actual End" dataDxfId="42"/>
    <tableColumn id="12" xr3:uid="{582A4D40-5E2B-43C6-B5B2-B10CA0960E07}" name="Complexity (High/Medium/Low)" dataDxfId="41"/>
    <tableColumn id="13" xr3:uid="{292807D7-7C74-4235-A9AF-9877BF48B873}" name="Prioritisation (High/Medium/Low)" dataDxfId="40"/>
    <tableColumn id="14" xr3:uid="{C8C3879C-D63F-4E31-A1C5-DDB3DB0C4A82}" name="Budget" dataDxfId="39"/>
    <tableColumn id="15" xr3:uid="{6B409C9A-8899-4F2F-9A6D-9A09F2A32FAF}" name="Progress" dataDxfId="38"/>
    <tableColumn id="16" xr3:uid="{FA37641B-8D53-4FF3-83C7-B2D586591578}" name="Group" dataDxfId="37"/>
    <tableColumn id="17" xr3:uid="{AD5C9871-A47D-425D-BB59-CB58A199319C}" name="Remarks (Description of Status/RAID)" dataDxfId="36"/>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A0310F6-E777-4DE6-AAB1-38D2FAD1CB3F}" name="Table14" displayName="Table14" ref="B4:M30" totalsRowShown="0" headerRowDxfId="35" dataDxfId="33" headerRowBorderDxfId="34" tableBorderDxfId="32">
  <autoFilter ref="B4:M30" xr:uid="{7E5356C9-387E-4A6A-86C5-3B672BB39783}"/>
  <tableColumns count="12">
    <tableColumn id="1" xr3:uid="{665C9634-2B18-4297-891D-7C070E3B4E75}" name="No" dataDxfId="31">
      <calculatedColumnFormula>ROW() - ROW(Table14[[#Headers],[No]])</calculatedColumnFormula>
    </tableColumn>
    <tableColumn id="2" xr3:uid="{7BB90807-A22B-4393-8F2D-6AB0D6397B55}" name="Initiative Name" dataDxfId="30"/>
    <tableColumn id="3" xr3:uid="{588CA390-3CF2-416A-9EED-A8861628EB42}" name="Status (Completed / Planned)" dataDxfId="29"/>
    <tableColumn id="4" xr3:uid="{F3B8F1D1-250A-4825-A6C9-6E9E486319F1}" name="Description of Initiative" dataDxfId="28"/>
    <tableColumn id="5" xr3:uid="{523E3721-754F-46E1-99F1-FAAD5513C747}" name="Owner / PIC" dataDxfId="27"/>
    <tableColumn id="6" xr3:uid="{9748FE6F-E4CB-4D7C-B25E-B27AE74218DF}" name="Stakeholder" dataDxfId="26"/>
    <tableColumn id="7" xr3:uid="{D70A3A98-4AB1-4A3E-B971-734F92CB25B1}" name="Expected Impact (Business / Cost / Efficiency)" dataDxfId="25"/>
    <tableColumn id="8" xr3:uid="{E0D48D46-5E5B-40AB-928F-716FCD08241E}" name="Complexity (High/Medium/Low)" dataDxfId="24"/>
    <tableColumn id="11" xr3:uid="{004FD680-D722-4E04-8399-B0FA8C35A456}" name="Prioritisation (High/Medium/Low)" dataDxfId="23"/>
    <tableColumn id="9" xr3:uid="{569DE90D-3A31-47E7-9774-46D0E4D61662}" name="Timeline_x000a_(Start Date &amp; End Date)" dataDxfId="22"/>
    <tableColumn id="10" xr3:uid="{4588921E-A946-49D5-878F-27FF2E7602F6}" name="Remarks" dataDxfId="21"/>
    <tableColumn id="12" xr3:uid="{C5EAC6DA-D81A-4C89-9B30-9F309DC93C35}" name="Budget" dataDxfId="20"/>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798499C-BECA-474D-BCAB-0325F0109CC0}" name="SME" displayName="SME" ref="B4:R12" totalsRowShown="0" headerRowDxfId="19" headerRowBorderDxfId="18" tableBorderDxfId="17">
  <autoFilter ref="B4:R12" xr:uid="{F798499C-BECA-474D-BCAB-0325F0109CC0}"/>
  <tableColumns count="17">
    <tableColumn id="1" xr3:uid="{96E363D0-53CF-44C8-BE86-B739B1FEC0FD}" name="Initiatives ID " dataDxfId="16">
      <calculatedColumnFormula>"IDS"&amp;TEXT(ROW(A1),"000")</calculatedColumnFormula>
    </tableColumn>
    <tableColumn id="2" xr3:uid="{3AFAA9E6-9040-4498-874C-2BAE84763E89}" name="Initiative Name" dataDxfId="15"/>
    <tableColumn id="3" xr3:uid="{AC1093D9-A294-4A9D-B0CF-037A60838A71}" name="Status (Completed / In Progress / Not Started)" dataDxfId="14"/>
    <tableColumn id="4" xr3:uid="{87FE0080-F94A-4492-9DAB-25E74DAADAD8}" name="Description of Initiative" dataDxfId="13"/>
    <tableColumn id="5" xr3:uid="{C2D8BCAE-B96A-45E7-892F-60346B7ADE5F}" name="Requester" dataDxfId="12"/>
    <tableColumn id="6" xr3:uid="{C048EB36-9F45-4B4F-977E-42A855235D3A}" name="PIC" dataDxfId="11"/>
    <tableColumn id="7" xr3:uid="{98792EED-8613-4652-85DB-94ECFE025BE7}" name="Stakeholder" dataDxfId="10"/>
    <tableColumn id="8" xr3:uid="{1E6E3A0F-5160-4B3A-A643-42BB0BE168B4}" name="Target Start" dataDxfId="9"/>
    <tableColumn id="9" xr3:uid="{B9C93E3D-1EDC-4862-A184-796DC9B56848}" name="Actual Start" dataDxfId="8"/>
    <tableColumn id="10" xr3:uid="{4616E181-3B8B-458F-BF46-1A01D7DA7D8A}" name="Target End" dataDxfId="7"/>
    <tableColumn id="11" xr3:uid="{2168153A-69F1-44F3-AE1E-5F3A0F391450}" name="Actual End" dataDxfId="6"/>
    <tableColumn id="12" xr3:uid="{44E4C5D0-942B-4D42-99E1-B2E4DD46BD22}" name="Complexity (High/Medium/Low)" dataDxfId="5"/>
    <tableColumn id="13" xr3:uid="{86125636-80DE-4525-B3FE-EC7B51E8C7D0}" name="Prioritisation (High/Medium/Low)" dataDxfId="4"/>
    <tableColumn id="14" xr3:uid="{7E8D4449-4C41-4D48-89E1-B50F32996723}" name="Budget" dataDxfId="3"/>
    <tableColumn id="15" xr3:uid="{16BD973D-2AF6-4199-BD75-D0E2316CE671}" name="Progress" dataDxfId="2"/>
    <tableColumn id="16" xr3:uid="{8F59B16E-3281-449F-AB91-42FC59BD0183}" name="Group" dataDxfId="1"/>
    <tableColumn id="17" xr3:uid="{28534F16-9440-4785-AD17-559B9D33A95B}" name="Remarks (Description of Status/RAID)" dataDxfId="0"/>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6152F8-EB20-484D-A26A-DC62450AF323}" name="Phases" displayName="Phases" ref="B4:H431" totalsRowShown="0" headerRowDxfId="121" dataDxfId="120" tableBorderDxfId="119">
  <autoFilter ref="B4:H431" xr:uid="{3007D29C-E1AC-40C9-964A-D6253754DC72}"/>
  <tableColumns count="7">
    <tableColumn id="1" xr3:uid="{1BC19F14-646A-4DA9-95FB-C67A76C1F13D}" name="Initiatives ID " dataDxfId="118">
      <calculatedColumnFormula>"IDG"&amp;TEXT(ROW(A$2),"000")</calculatedColumnFormula>
    </tableColumn>
    <tableColumn id="2" xr3:uid="{74C4F3E1-EAB8-483B-AC41-E18D09C58C56}" name="Phases" dataDxfId="117"/>
    <tableColumn id="3" xr3:uid="{9EFF072E-81FD-48CE-98AA-B20D40A62EB4}" name="Target Start" dataDxfId="116"/>
    <tableColumn id="4" xr3:uid="{C41F4054-E9F8-4788-939D-51BF7A087402}" name="Target End" dataDxfId="115"/>
    <tableColumn id="5" xr3:uid="{922FE44F-28EF-41E7-B054-39E39D89906A}" name="Actual Start" dataDxfId="114"/>
    <tableColumn id="6" xr3:uid="{8677C384-1E97-4230-88AB-710E32BE0CB3}" name="Actual End" dataDxfId="113"/>
    <tableColumn id="7" xr3:uid="{827B36F6-AA18-48AC-A9B5-8C940CEB8C02}" name="Status" dataDxfId="112"/>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4" dT="2026-07-13T09:36:36.31" personId="{70268BD8-95EC-486B-987E-6E386A1EAF74}" id="{1BDE60AB-D6CF-4955-841D-27E09DF89CE4}">
    <text>Function Owner</text>
  </threadedComment>
  <threadedComment ref="N4" dT="2026-07-13T09:37:54.61" personId="{70268BD8-95EC-486B-987E-6E386A1EAF74}" id="{29D736B8-BC7E-4EAF-B9DC-626B18735E90}">
    <text>Based on business perspectives</text>
  </threadedComment>
</ThreadedComments>
</file>

<file path=xl/threadedComments/threadedComment2.xml><?xml version="1.0" encoding="utf-8"?>
<ThreadedComments xmlns="http://schemas.microsoft.com/office/spreadsheetml/2018/threadedcomments" xmlns:x="http://schemas.openxmlformats.org/spreadsheetml/2006/main">
  <threadedComment ref="F4" dT="2026-07-13T09:36:36.31" personId="{70268BD8-95EC-486B-987E-6E386A1EAF74}" id="{AD41045A-C671-478F-A478-EABF1BE0782F}">
    <text>Function Owner</text>
  </threadedComment>
  <threadedComment ref="N4" dT="2026-07-13T09:37:54.61" personId="{70268BD8-95EC-486B-987E-6E386A1EAF74}" id="{41DEDD54-7C88-4390-8155-F843C1822D92}">
    <text>Based on business perspectives</text>
  </threadedComment>
</ThreadedComments>
</file>

<file path=xl/threadedComments/threadedComment3.xml><?xml version="1.0" encoding="utf-8"?>
<ThreadedComments xmlns="http://schemas.microsoft.com/office/spreadsheetml/2018/threadedcomments" xmlns:x="http://schemas.openxmlformats.org/spreadsheetml/2006/main">
  <threadedComment ref="F4" dT="2026-07-13T09:36:36.31" personId="{70268BD8-95EC-486B-987E-6E386A1EAF74}" id="{07D96636-12FC-4D71-837D-C4B19089D2FF}">
    <text>Function Owner</text>
  </threadedComment>
  <threadedComment ref="N4" dT="2026-07-13T09:37:54.61" personId="{70268BD8-95EC-486B-987E-6E386A1EAF74}" id="{D084BDD4-3F78-4FCB-87E2-BEB9DE4B5AA9}">
    <text>Based on business perspectives</text>
  </threadedComment>
</ThreadedComments>
</file>

<file path=xl/threadedComments/threadedComment4.xml><?xml version="1.0" encoding="utf-8"?>
<ThreadedComments xmlns="http://schemas.microsoft.com/office/spreadsheetml/2018/threadedcomments" xmlns:x="http://schemas.openxmlformats.org/spreadsheetml/2006/main">
  <threadedComment ref="J4" dT="2026-07-13T08:40:05.51" personId="{C54475BD-18F4-4D65-9B54-DB432C916B9E}" id="{755080F9-4EED-4904-8E92-1D24ECC40B1E}">
    <text>From the business perspective</text>
  </threadedComment>
</ThreadedComments>
</file>

<file path=xl/threadedComments/threadedComment5.xml><?xml version="1.0" encoding="utf-8"?>
<ThreadedComments xmlns="http://schemas.microsoft.com/office/spreadsheetml/2018/threadedcomments" xmlns:x="http://schemas.openxmlformats.org/spreadsheetml/2006/main">
  <threadedComment ref="F4" dT="2026-07-13T09:36:36.31" personId="{70268BD8-95EC-486B-987E-6E386A1EAF74}" id="{7965652C-BE51-4148-9AB6-AD5441B25585}">
    <text>Function Owner</text>
  </threadedComment>
  <threadedComment ref="N4" dT="2026-07-13T09:37:54.61" personId="{70268BD8-95EC-486B-987E-6E386A1EAF74}" id="{2EE50337-5372-4905-9FEE-7FD81EA832DB}">
    <text>Based on business perspectives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4.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5.xml"/><Relationship Id="rId1" Type="http://schemas.openxmlformats.org/officeDocument/2006/relationships/vmlDrawing" Target="../drawings/vmlDrawing4.vml"/><Relationship Id="rId4" Type="http://schemas.microsoft.com/office/2017/10/relationships/threadedComment" Target="../threadedComments/threadedComment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6.xml"/><Relationship Id="rId1" Type="http://schemas.openxmlformats.org/officeDocument/2006/relationships/vmlDrawing" Target="../drawings/vmlDrawing5.vml"/><Relationship Id="rId4" Type="http://schemas.microsoft.com/office/2017/10/relationships/threadedComment" Target="../threadedComments/threadedComment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A54CD-BB17-4EC4-851D-CD14007DD542}">
  <sheetPr>
    <tabColor theme="9" tint="0.59999389629810485"/>
  </sheetPr>
  <dimension ref="B1:R35"/>
  <sheetViews>
    <sheetView topLeftCell="E1" zoomScale="80" zoomScaleNormal="80" workbookViewId="0">
      <selection activeCell="B4" sqref="B4:R12"/>
    </sheetView>
  </sheetViews>
  <sheetFormatPr defaultRowHeight="14.5" x14ac:dyDescent="0.35"/>
  <cols>
    <col min="1" max="1" width="2.26953125" customWidth="1"/>
    <col min="2" max="2" width="14.54296875" style="1" customWidth="1"/>
    <col min="3" max="3" width="32.1796875" customWidth="1"/>
    <col min="4" max="4" width="41.36328125" customWidth="1"/>
    <col min="5" max="5" width="36.26953125" style="14" customWidth="1"/>
    <col min="6" max="7" width="17.26953125" customWidth="1"/>
    <col min="8" max="8" width="21.453125" customWidth="1"/>
    <col min="9" max="12" width="14.1796875" customWidth="1"/>
    <col min="13" max="13" width="29.7265625" customWidth="1"/>
    <col min="14" max="14" width="31.26953125" customWidth="1"/>
    <col min="15" max="15" width="20.1796875" style="65" customWidth="1"/>
    <col min="16" max="16" width="20.1796875" style="73" customWidth="1"/>
    <col min="17" max="17" width="20.1796875" style="65" customWidth="1"/>
    <col min="18" max="18" width="38" customWidth="1"/>
  </cols>
  <sheetData>
    <row r="1" spans="2:18" x14ac:dyDescent="0.35">
      <c r="O1"/>
      <c r="P1"/>
      <c r="Q1"/>
    </row>
    <row r="2" spans="2:18" ht="23.5" x14ac:dyDescent="0.55000000000000004">
      <c r="B2" s="22" t="s">
        <v>0</v>
      </c>
      <c r="O2"/>
      <c r="P2"/>
      <c r="Q2"/>
    </row>
    <row r="3" spans="2:18" x14ac:dyDescent="0.35">
      <c r="O3"/>
      <c r="P3"/>
      <c r="Q3"/>
    </row>
    <row r="4" spans="2:18" s="2" customFormat="1" ht="29" x14ac:dyDescent="0.35">
      <c r="B4" s="87" t="s">
        <v>1</v>
      </c>
      <c r="C4" s="88" t="s">
        <v>2</v>
      </c>
      <c r="D4" s="88" t="s">
        <v>3</v>
      </c>
      <c r="E4" s="88" t="s">
        <v>4</v>
      </c>
      <c r="F4" s="88" t="s">
        <v>5</v>
      </c>
      <c r="G4" s="88" t="s">
        <v>6</v>
      </c>
      <c r="H4" s="88" t="s">
        <v>7</v>
      </c>
      <c r="I4" s="88" t="s">
        <v>8</v>
      </c>
      <c r="J4" s="88" t="s">
        <v>9</v>
      </c>
      <c r="K4" s="88" t="s">
        <v>10</v>
      </c>
      <c r="L4" s="88" t="s">
        <v>11</v>
      </c>
      <c r="M4" s="88" t="s">
        <v>12</v>
      </c>
      <c r="N4" s="88" t="s">
        <v>13</v>
      </c>
      <c r="O4" s="88" t="s">
        <v>14</v>
      </c>
      <c r="P4" s="88" t="s">
        <v>238</v>
      </c>
      <c r="Q4" s="112" t="s">
        <v>15</v>
      </c>
      <c r="R4" s="88" t="s">
        <v>16</v>
      </c>
    </row>
    <row r="5" spans="2:18" s="4" customFormat="1" ht="79.5" customHeight="1" x14ac:dyDescent="0.35">
      <c r="B5" s="23" t="str">
        <f>"IDG"&amp;TEXT(ROW(A1),"000")</f>
        <v>IDG001</v>
      </c>
      <c r="C5" s="21" t="s">
        <v>17</v>
      </c>
      <c r="D5" s="26" t="s">
        <v>18</v>
      </c>
      <c r="E5" s="21" t="s">
        <v>19</v>
      </c>
      <c r="F5" s="21" t="s">
        <v>20</v>
      </c>
      <c r="G5" s="21" t="s">
        <v>21</v>
      </c>
      <c r="H5" s="21" t="s">
        <v>22</v>
      </c>
      <c r="I5" s="57">
        <v>46023</v>
      </c>
      <c r="J5" s="57">
        <v>46023</v>
      </c>
      <c r="K5" s="56">
        <v>46357</v>
      </c>
      <c r="L5" s="54"/>
      <c r="M5" s="21" t="s">
        <v>23</v>
      </c>
      <c r="N5" s="21" t="s">
        <v>23</v>
      </c>
      <c r="O5" s="62">
        <v>500000</v>
      </c>
      <c r="P5" s="74"/>
      <c r="Q5" s="62" t="s">
        <v>24</v>
      </c>
      <c r="R5" s="21" t="s">
        <v>25</v>
      </c>
    </row>
    <row r="6" spans="2:18" s="4" customFormat="1" ht="111" customHeight="1" x14ac:dyDescent="0.35">
      <c r="B6" s="23" t="str">
        <f t="shared" ref="B6:B12" si="0">"IDG"&amp;TEXT(ROW(A2),"000")</f>
        <v>IDG002</v>
      </c>
      <c r="C6" s="21" t="s">
        <v>26</v>
      </c>
      <c r="D6" s="26" t="s">
        <v>18</v>
      </c>
      <c r="E6" s="21" t="s">
        <v>27</v>
      </c>
      <c r="F6" s="21" t="s">
        <v>28</v>
      </c>
      <c r="G6" s="21" t="s">
        <v>29</v>
      </c>
      <c r="H6" s="21" t="s">
        <v>30</v>
      </c>
      <c r="I6" s="57">
        <v>46023</v>
      </c>
      <c r="J6" s="57">
        <v>46023</v>
      </c>
      <c r="K6" s="56">
        <v>46357</v>
      </c>
      <c r="L6" s="54"/>
      <c r="M6" s="21" t="s">
        <v>23</v>
      </c>
      <c r="N6" s="21" t="s">
        <v>23</v>
      </c>
      <c r="O6" s="62">
        <v>800000</v>
      </c>
      <c r="P6" s="74"/>
      <c r="Q6" s="62" t="s">
        <v>24</v>
      </c>
      <c r="R6" s="21" t="s">
        <v>31</v>
      </c>
    </row>
    <row r="7" spans="2:18" s="4" customFormat="1" ht="69" customHeight="1" x14ac:dyDescent="0.35">
      <c r="B7" s="23" t="str">
        <f t="shared" si="0"/>
        <v>IDG003</v>
      </c>
      <c r="C7" s="21" t="s">
        <v>32</v>
      </c>
      <c r="D7" s="26" t="s">
        <v>18</v>
      </c>
      <c r="E7" s="21" t="s">
        <v>33</v>
      </c>
      <c r="F7" s="21" t="s">
        <v>34</v>
      </c>
      <c r="G7" s="21" t="s">
        <v>35</v>
      </c>
      <c r="H7" s="21" t="s">
        <v>36</v>
      </c>
      <c r="I7" s="57">
        <v>46023</v>
      </c>
      <c r="J7" s="57">
        <v>46023</v>
      </c>
      <c r="K7" s="56">
        <v>46357</v>
      </c>
      <c r="L7" s="54"/>
      <c r="M7" s="21" t="s">
        <v>23</v>
      </c>
      <c r="N7" s="21" t="s">
        <v>23</v>
      </c>
      <c r="O7" s="62"/>
      <c r="P7" s="74"/>
      <c r="Q7" s="62" t="s">
        <v>24</v>
      </c>
      <c r="R7" s="21" t="s">
        <v>37</v>
      </c>
    </row>
    <row r="8" spans="2:18" s="4" customFormat="1" ht="70.5" customHeight="1" x14ac:dyDescent="0.35">
      <c r="B8" s="23" t="str">
        <f t="shared" si="0"/>
        <v>IDG004</v>
      </c>
      <c r="C8" s="31" t="s">
        <v>38</v>
      </c>
      <c r="D8" s="31" t="s">
        <v>39</v>
      </c>
      <c r="E8" s="32" t="s">
        <v>40</v>
      </c>
      <c r="F8" s="31" t="s">
        <v>34</v>
      </c>
      <c r="G8" s="31" t="s">
        <v>41</v>
      </c>
      <c r="H8" s="31" t="s">
        <v>34</v>
      </c>
      <c r="I8" s="56">
        <v>46235</v>
      </c>
      <c r="J8" s="56">
        <v>46235</v>
      </c>
      <c r="K8" s="56">
        <v>46357</v>
      </c>
      <c r="L8" s="55"/>
      <c r="M8" s="31" t="s">
        <v>42</v>
      </c>
      <c r="N8" s="31" t="s">
        <v>42</v>
      </c>
      <c r="O8" s="63">
        <v>100000</v>
      </c>
      <c r="P8" s="69"/>
      <c r="Q8" s="62" t="s">
        <v>24</v>
      </c>
      <c r="R8" s="31" t="s">
        <v>43</v>
      </c>
    </row>
    <row r="9" spans="2:18" s="4" customFormat="1" ht="57" customHeight="1" x14ac:dyDescent="0.35">
      <c r="B9" s="23" t="str">
        <f t="shared" si="0"/>
        <v>IDG005</v>
      </c>
      <c r="C9" s="31" t="s">
        <v>44</v>
      </c>
      <c r="D9" s="31" t="s">
        <v>18</v>
      </c>
      <c r="E9" s="32" t="s">
        <v>45</v>
      </c>
      <c r="F9" s="31" t="s">
        <v>20</v>
      </c>
      <c r="G9" s="31" t="s">
        <v>46</v>
      </c>
      <c r="H9" s="32" t="s">
        <v>47</v>
      </c>
      <c r="I9" s="56">
        <v>46023</v>
      </c>
      <c r="J9" s="56">
        <v>46023</v>
      </c>
      <c r="K9" s="56">
        <v>46357</v>
      </c>
      <c r="L9" s="55"/>
      <c r="M9" s="31" t="s">
        <v>23</v>
      </c>
      <c r="N9" s="31" t="s">
        <v>23</v>
      </c>
      <c r="O9" s="63">
        <v>2000000</v>
      </c>
      <c r="P9" s="69"/>
      <c r="Q9" s="62" t="s">
        <v>24</v>
      </c>
      <c r="R9" s="32" t="s">
        <v>48</v>
      </c>
    </row>
    <row r="10" spans="2:18" s="4" customFormat="1" ht="61.5" customHeight="1" x14ac:dyDescent="0.35">
      <c r="B10" s="23" t="str">
        <f t="shared" si="0"/>
        <v>IDG006</v>
      </c>
      <c r="C10" s="31" t="s">
        <v>49</v>
      </c>
      <c r="D10" s="31" t="s">
        <v>18</v>
      </c>
      <c r="E10" s="32" t="s">
        <v>50</v>
      </c>
      <c r="F10" s="31" t="s">
        <v>51</v>
      </c>
      <c r="G10" s="31" t="s">
        <v>52</v>
      </c>
      <c r="H10" s="32" t="s">
        <v>53</v>
      </c>
      <c r="I10" s="56">
        <v>46143</v>
      </c>
      <c r="J10" s="56">
        <v>46143</v>
      </c>
      <c r="K10" s="56">
        <v>46296</v>
      </c>
      <c r="L10" s="55"/>
      <c r="M10" s="31" t="s">
        <v>23</v>
      </c>
      <c r="N10" s="31" t="s">
        <v>23</v>
      </c>
      <c r="O10" s="63"/>
      <c r="P10" s="69"/>
      <c r="Q10" s="62" t="s">
        <v>24</v>
      </c>
      <c r="R10" s="32" t="s">
        <v>54</v>
      </c>
    </row>
    <row r="11" spans="2:18" s="4" customFormat="1" ht="51" customHeight="1" x14ac:dyDescent="0.35">
      <c r="B11" s="23" t="str">
        <f t="shared" si="0"/>
        <v>IDG007</v>
      </c>
      <c r="C11" s="31" t="s">
        <v>55</v>
      </c>
      <c r="D11" s="31" t="s">
        <v>18</v>
      </c>
      <c r="E11" s="32" t="s">
        <v>56</v>
      </c>
      <c r="F11" s="31" t="s">
        <v>34</v>
      </c>
      <c r="G11" s="31" t="s">
        <v>57</v>
      </c>
      <c r="H11" s="31" t="s">
        <v>58</v>
      </c>
      <c r="I11" s="56">
        <v>46204</v>
      </c>
      <c r="J11" s="56">
        <v>46204</v>
      </c>
      <c r="K11" s="55"/>
      <c r="L11" s="55"/>
      <c r="M11" s="31" t="s">
        <v>42</v>
      </c>
      <c r="N11" s="31" t="s">
        <v>42</v>
      </c>
      <c r="O11" s="63"/>
      <c r="P11" s="69"/>
      <c r="Q11" s="62" t="s">
        <v>24</v>
      </c>
      <c r="R11" s="32" t="s">
        <v>59</v>
      </c>
    </row>
    <row r="12" spans="2:18" s="4" customFormat="1" ht="68.150000000000006" customHeight="1" x14ac:dyDescent="0.35">
      <c r="B12" s="77" t="str">
        <f t="shared" si="0"/>
        <v>IDG008</v>
      </c>
      <c r="C12" s="76" t="s">
        <v>60</v>
      </c>
      <c r="D12" s="76" t="s">
        <v>18</v>
      </c>
      <c r="E12" s="113" t="s">
        <v>61</v>
      </c>
      <c r="F12" s="76" t="s">
        <v>34</v>
      </c>
      <c r="G12" s="76" t="s">
        <v>62</v>
      </c>
      <c r="H12" s="76" t="s">
        <v>28</v>
      </c>
      <c r="I12" s="114">
        <v>46143</v>
      </c>
      <c r="J12" s="114">
        <v>46143</v>
      </c>
      <c r="K12" s="114">
        <v>46357</v>
      </c>
      <c r="L12" s="115"/>
      <c r="M12" s="76" t="s">
        <v>42</v>
      </c>
      <c r="N12" s="76" t="s">
        <v>42</v>
      </c>
      <c r="O12" s="116"/>
      <c r="P12" s="117"/>
      <c r="Q12" s="118" t="s">
        <v>24</v>
      </c>
      <c r="R12" s="113" t="s">
        <v>63</v>
      </c>
    </row>
    <row r="13" spans="2:18" s="4" customFormat="1" x14ac:dyDescent="0.35">
      <c r="B13" s="5"/>
      <c r="E13" s="2"/>
      <c r="O13" s="64"/>
      <c r="P13" s="72"/>
      <c r="Q13" s="64"/>
    </row>
    <row r="14" spans="2:18" s="4" customFormat="1" x14ac:dyDescent="0.35">
      <c r="B14" s="5"/>
      <c r="E14" s="2"/>
      <c r="O14" s="64"/>
      <c r="P14" s="72"/>
      <c r="Q14" s="64"/>
    </row>
    <row r="15" spans="2:18" s="4" customFormat="1" x14ac:dyDescent="0.35">
      <c r="B15" s="5"/>
      <c r="E15" s="2"/>
      <c r="O15" s="64"/>
      <c r="P15" s="72"/>
      <c r="Q15" s="64"/>
    </row>
    <row r="16" spans="2:18" s="4" customFormat="1" x14ac:dyDescent="0.35">
      <c r="B16" s="5"/>
      <c r="E16" s="2"/>
      <c r="O16" s="64"/>
      <c r="P16" s="72"/>
      <c r="Q16" s="64"/>
    </row>
    <row r="17" spans="2:17" s="4" customFormat="1" x14ac:dyDescent="0.35">
      <c r="B17" s="5"/>
      <c r="E17" s="2"/>
      <c r="O17" s="64"/>
      <c r="P17" s="72"/>
      <c r="Q17" s="64"/>
    </row>
    <row r="18" spans="2:17" s="4" customFormat="1" x14ac:dyDescent="0.35">
      <c r="B18" s="5"/>
      <c r="E18" s="2"/>
      <c r="O18" s="64"/>
      <c r="P18" s="72"/>
      <c r="Q18" s="64"/>
    </row>
    <row r="19" spans="2:17" s="4" customFormat="1" x14ac:dyDescent="0.35">
      <c r="B19" s="5"/>
      <c r="E19" s="2"/>
      <c r="O19" s="64"/>
      <c r="P19" s="72"/>
      <c r="Q19" s="64"/>
    </row>
    <row r="20" spans="2:17" s="4" customFormat="1" x14ac:dyDescent="0.35">
      <c r="B20" s="5"/>
      <c r="E20" s="2"/>
      <c r="O20" s="64"/>
      <c r="P20" s="72"/>
      <c r="Q20" s="64"/>
    </row>
    <row r="21" spans="2:17" s="4" customFormat="1" x14ac:dyDescent="0.35">
      <c r="B21" s="5"/>
      <c r="E21" s="2"/>
      <c r="O21" s="64"/>
      <c r="P21" s="72"/>
      <c r="Q21" s="64"/>
    </row>
    <row r="22" spans="2:17" s="4" customFormat="1" x14ac:dyDescent="0.35">
      <c r="B22" s="5"/>
      <c r="E22" s="2"/>
      <c r="O22" s="64"/>
      <c r="P22" s="72"/>
      <c r="Q22" s="64"/>
    </row>
    <row r="23" spans="2:17" s="4" customFormat="1" x14ac:dyDescent="0.35">
      <c r="B23" s="5"/>
      <c r="E23" s="2"/>
      <c r="O23" s="64"/>
      <c r="P23" s="72"/>
      <c r="Q23" s="64"/>
    </row>
    <row r="24" spans="2:17" s="4" customFormat="1" x14ac:dyDescent="0.35">
      <c r="B24" s="5"/>
      <c r="E24" s="2"/>
      <c r="O24" s="64"/>
      <c r="P24" s="72"/>
      <c r="Q24" s="64"/>
    </row>
    <row r="25" spans="2:17" s="4" customFormat="1" x14ac:dyDescent="0.35">
      <c r="B25" s="5"/>
      <c r="E25" s="2"/>
      <c r="O25" s="64"/>
      <c r="P25" s="72"/>
      <c r="Q25" s="64"/>
    </row>
    <row r="26" spans="2:17" s="4" customFormat="1" x14ac:dyDescent="0.35">
      <c r="B26" s="5"/>
      <c r="E26" s="2"/>
      <c r="O26" s="64"/>
      <c r="P26" s="72"/>
      <c r="Q26" s="64"/>
    </row>
    <row r="27" spans="2:17" s="4" customFormat="1" x14ac:dyDescent="0.35">
      <c r="B27" s="5"/>
      <c r="E27" s="2"/>
      <c r="O27" s="64"/>
      <c r="P27" s="72"/>
      <c r="Q27" s="64"/>
    </row>
    <row r="28" spans="2:17" s="4" customFormat="1" x14ac:dyDescent="0.35">
      <c r="B28" s="5"/>
      <c r="E28" s="2"/>
      <c r="O28" s="64"/>
      <c r="P28" s="72"/>
      <c r="Q28" s="64"/>
    </row>
    <row r="29" spans="2:17" s="4" customFormat="1" x14ac:dyDescent="0.35">
      <c r="B29" s="5"/>
      <c r="E29" s="2"/>
      <c r="O29" s="64"/>
      <c r="P29" s="72"/>
      <c r="Q29" s="64"/>
    </row>
    <row r="30" spans="2:17" s="4" customFormat="1" x14ac:dyDescent="0.35">
      <c r="B30" s="5"/>
      <c r="E30" s="2"/>
      <c r="O30" s="64"/>
      <c r="P30" s="72"/>
      <c r="Q30" s="64"/>
    </row>
    <row r="31" spans="2:17" s="4" customFormat="1" x14ac:dyDescent="0.35">
      <c r="B31" s="5"/>
      <c r="E31" s="2"/>
      <c r="O31" s="64"/>
      <c r="P31" s="72"/>
      <c r="Q31" s="64"/>
    </row>
    <row r="32" spans="2:17" s="4" customFormat="1" x14ac:dyDescent="0.35">
      <c r="B32" s="5"/>
      <c r="E32" s="2"/>
      <c r="O32" s="64"/>
      <c r="P32" s="72"/>
      <c r="Q32" s="64"/>
    </row>
    <row r="33" spans="2:17" s="4" customFormat="1" x14ac:dyDescent="0.35">
      <c r="B33" s="5"/>
      <c r="E33" s="2"/>
      <c r="O33" s="64"/>
      <c r="P33" s="72"/>
      <c r="Q33" s="64"/>
    </row>
    <row r="34" spans="2:17" s="4" customFormat="1" x14ac:dyDescent="0.35">
      <c r="B34" s="5"/>
      <c r="E34" s="2"/>
      <c r="O34" s="64"/>
      <c r="P34" s="72"/>
      <c r="Q34" s="64"/>
    </row>
    <row r="35" spans="2:17" s="4" customFormat="1" x14ac:dyDescent="0.35">
      <c r="B35" s="5"/>
      <c r="E35" s="2"/>
      <c r="O35" s="64"/>
      <c r="P35" s="72"/>
      <c r="Q35" s="64"/>
    </row>
  </sheetData>
  <pageMargins left="0.7" right="0.7" top="0.75" bottom="0.75" header="0.3" footer="0.3"/>
  <pageSetup paperSize="9" orientation="portrait"/>
  <legacy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B332D-DD12-4F05-B495-7412EA004CF4}">
  <sheetPr>
    <tabColor rgb="FFFFFF00"/>
  </sheetPr>
  <dimension ref="B1:R35"/>
  <sheetViews>
    <sheetView topLeftCell="B1" zoomScale="66" zoomScaleNormal="90" workbookViewId="0">
      <selection activeCell="B4" sqref="B4:R23"/>
    </sheetView>
  </sheetViews>
  <sheetFormatPr defaultRowHeight="14.5" x14ac:dyDescent="0.35"/>
  <cols>
    <col min="1" max="1" width="2.26953125" customWidth="1"/>
    <col min="2" max="2" width="17.7265625" style="1" customWidth="1"/>
    <col min="3" max="3" width="42.7265625" customWidth="1"/>
    <col min="4" max="4" width="55.26953125" customWidth="1"/>
    <col min="5" max="5" width="38.1796875" style="14" customWidth="1"/>
    <col min="6" max="6" width="20" customWidth="1"/>
    <col min="7" max="7" width="25.1796875" customWidth="1"/>
    <col min="8" max="8" width="24.81640625" customWidth="1"/>
    <col min="9" max="10" width="16.90625" style="1" customWidth="1"/>
    <col min="11" max="12" width="15.7265625" style="1" customWidth="1"/>
    <col min="13" max="13" width="38.08984375" customWidth="1"/>
    <col min="14" max="14" width="40.08984375" customWidth="1"/>
    <col min="15" max="15" width="18.54296875" style="58" customWidth="1"/>
    <col min="16" max="16" width="18.54296875" style="73" customWidth="1"/>
    <col min="17" max="17" width="18.54296875" style="58" customWidth="1"/>
    <col min="18" max="18" width="45.7265625" customWidth="1"/>
  </cols>
  <sheetData>
    <row r="1" spans="2:18" x14ac:dyDescent="0.35">
      <c r="I1"/>
      <c r="J1"/>
      <c r="K1"/>
      <c r="L1"/>
      <c r="P1" s="58"/>
    </row>
    <row r="2" spans="2:18" ht="23.5" x14ac:dyDescent="0.55000000000000004">
      <c r="B2" s="22" t="s">
        <v>64</v>
      </c>
      <c r="I2"/>
      <c r="J2"/>
      <c r="K2"/>
      <c r="L2"/>
      <c r="P2" s="58"/>
    </row>
    <row r="3" spans="2:18" x14ac:dyDescent="0.35">
      <c r="I3"/>
      <c r="J3"/>
      <c r="K3"/>
      <c r="L3"/>
      <c r="P3" s="58"/>
    </row>
    <row r="4" spans="2:18" s="2" customFormat="1" ht="29" x14ac:dyDescent="0.35">
      <c r="B4" s="123" t="s">
        <v>1</v>
      </c>
      <c r="C4" s="124" t="s">
        <v>2</v>
      </c>
      <c r="D4" s="124" t="s">
        <v>3</v>
      </c>
      <c r="E4" s="124" t="s">
        <v>4</v>
      </c>
      <c r="F4" s="124" t="s">
        <v>5</v>
      </c>
      <c r="G4" s="124" t="s">
        <v>6</v>
      </c>
      <c r="H4" s="124" t="s">
        <v>7</v>
      </c>
      <c r="I4" s="124" t="s">
        <v>8</v>
      </c>
      <c r="J4" s="124" t="s">
        <v>9</v>
      </c>
      <c r="K4" s="124" t="s">
        <v>10</v>
      </c>
      <c r="L4" s="124" t="s">
        <v>11</v>
      </c>
      <c r="M4" s="124" t="s">
        <v>12</v>
      </c>
      <c r="N4" s="124" t="s">
        <v>13</v>
      </c>
      <c r="O4" s="125" t="s">
        <v>14</v>
      </c>
      <c r="P4" s="125" t="s">
        <v>238</v>
      </c>
      <c r="Q4" s="126" t="s">
        <v>15</v>
      </c>
      <c r="R4" s="127" t="s">
        <v>16</v>
      </c>
    </row>
    <row r="5" spans="2:18" s="4" customFormat="1" ht="79.5" customHeight="1" x14ac:dyDescent="0.35">
      <c r="B5" s="119" t="str">
        <f>"IDB"&amp;TEXT(ROW(A1),"000")</f>
        <v>IDB001</v>
      </c>
      <c r="C5" s="39" t="s">
        <v>65</v>
      </c>
      <c r="D5" s="39" t="s">
        <v>66</v>
      </c>
      <c r="E5" s="40" t="s">
        <v>67</v>
      </c>
      <c r="F5" s="39" t="s">
        <v>68</v>
      </c>
      <c r="G5" s="39" t="s">
        <v>69</v>
      </c>
      <c r="H5" s="39" t="s">
        <v>68</v>
      </c>
      <c r="I5" s="43">
        <v>46023</v>
      </c>
      <c r="J5" s="46">
        <v>45992</v>
      </c>
      <c r="K5" s="46">
        <v>46082</v>
      </c>
      <c r="L5" s="47">
        <v>46023</v>
      </c>
      <c r="M5" s="39" t="s">
        <v>70</v>
      </c>
      <c r="N5" s="39" t="s">
        <v>70</v>
      </c>
      <c r="O5" s="59">
        <v>100000</v>
      </c>
      <c r="P5" s="70">
        <v>1</v>
      </c>
      <c r="Q5" s="59" t="s">
        <v>71</v>
      </c>
      <c r="R5" s="120"/>
    </row>
    <row r="6" spans="2:18" s="4" customFormat="1" ht="111" customHeight="1" x14ac:dyDescent="0.35">
      <c r="B6" s="119" t="str">
        <f t="shared" ref="B6:B23" si="0">"IDB"&amp;TEXT(ROW(A2),"000")</f>
        <v>IDB002</v>
      </c>
      <c r="C6" s="39" t="s">
        <v>72</v>
      </c>
      <c r="D6" s="39" t="s">
        <v>66</v>
      </c>
      <c r="E6" s="40" t="s">
        <v>73</v>
      </c>
      <c r="F6" s="41" t="s">
        <v>74</v>
      </c>
      <c r="G6" s="39" t="s">
        <v>69</v>
      </c>
      <c r="H6" s="41" t="s">
        <v>74</v>
      </c>
      <c r="I6" s="43">
        <v>46023</v>
      </c>
      <c r="J6" s="43">
        <v>46023</v>
      </c>
      <c r="K6" s="46">
        <v>46082</v>
      </c>
      <c r="L6" s="46">
        <v>46054</v>
      </c>
      <c r="M6" s="39" t="s">
        <v>70</v>
      </c>
      <c r="N6" s="39" t="s">
        <v>70</v>
      </c>
      <c r="O6" s="59"/>
      <c r="P6" s="70">
        <v>1</v>
      </c>
      <c r="Q6" s="59" t="s">
        <v>71</v>
      </c>
      <c r="R6" s="120"/>
    </row>
    <row r="7" spans="2:18" s="4" customFormat="1" ht="69" customHeight="1" x14ac:dyDescent="0.35">
      <c r="B7" s="119" t="str">
        <f t="shared" si="0"/>
        <v>IDB003</v>
      </c>
      <c r="C7" s="39" t="s">
        <v>75</v>
      </c>
      <c r="D7" s="39" t="s">
        <v>66</v>
      </c>
      <c r="E7" s="40" t="s">
        <v>76</v>
      </c>
      <c r="F7" s="41" t="s">
        <v>74</v>
      </c>
      <c r="G7" s="39" t="s">
        <v>77</v>
      </c>
      <c r="H7" s="41" t="s">
        <v>74</v>
      </c>
      <c r="I7" s="43">
        <v>46023</v>
      </c>
      <c r="J7" s="46">
        <v>46054</v>
      </c>
      <c r="K7" s="46">
        <v>46082</v>
      </c>
      <c r="L7" s="46">
        <v>46082</v>
      </c>
      <c r="M7" s="39" t="s">
        <v>70</v>
      </c>
      <c r="N7" s="39" t="s">
        <v>70</v>
      </c>
      <c r="O7" s="59"/>
      <c r="P7" s="70">
        <v>1</v>
      </c>
      <c r="Q7" s="59" t="s">
        <v>71</v>
      </c>
      <c r="R7" s="120"/>
    </row>
    <row r="8" spans="2:18" s="4" customFormat="1" ht="70.5" customHeight="1" x14ac:dyDescent="0.35">
      <c r="B8" s="119" t="str">
        <f t="shared" si="0"/>
        <v>IDB004</v>
      </c>
      <c r="C8" s="39" t="s">
        <v>78</v>
      </c>
      <c r="D8" s="39" t="s">
        <v>18</v>
      </c>
      <c r="E8" s="40" t="s">
        <v>79</v>
      </c>
      <c r="F8" s="39" t="s">
        <v>80</v>
      </c>
      <c r="G8" s="3" t="s">
        <v>81</v>
      </c>
      <c r="H8" s="39" t="s">
        <v>80</v>
      </c>
      <c r="I8" s="43">
        <v>46023</v>
      </c>
      <c r="J8" s="46">
        <v>45992</v>
      </c>
      <c r="K8" s="46">
        <v>46082</v>
      </c>
      <c r="L8" s="46">
        <v>46082</v>
      </c>
      <c r="M8" s="39" t="s">
        <v>42</v>
      </c>
      <c r="N8" s="39" t="s">
        <v>42</v>
      </c>
      <c r="O8" s="60"/>
      <c r="P8" s="71">
        <v>0.3</v>
      </c>
      <c r="Q8" s="59" t="s">
        <v>71</v>
      </c>
      <c r="R8" s="121"/>
    </row>
    <row r="9" spans="2:18" s="4" customFormat="1" ht="57" customHeight="1" x14ac:dyDescent="0.35">
      <c r="B9" s="119" t="str">
        <f t="shared" si="0"/>
        <v>IDB005</v>
      </c>
      <c r="C9" s="3" t="s">
        <v>82</v>
      </c>
      <c r="D9" s="39" t="s">
        <v>18</v>
      </c>
      <c r="E9" s="3" t="s">
        <v>83</v>
      </c>
      <c r="F9" s="39" t="s">
        <v>74</v>
      </c>
      <c r="G9" s="39" t="s">
        <v>84</v>
      </c>
      <c r="H9" s="39" t="s">
        <v>74</v>
      </c>
      <c r="I9" s="43">
        <v>46054</v>
      </c>
      <c r="J9" s="44"/>
      <c r="K9" s="46">
        <v>46174</v>
      </c>
      <c r="L9" s="45"/>
      <c r="M9" s="39" t="s">
        <v>70</v>
      </c>
      <c r="N9" s="39" t="s">
        <v>70</v>
      </c>
      <c r="O9" s="60"/>
      <c r="P9" s="71"/>
      <c r="Q9" s="59" t="s">
        <v>71</v>
      </c>
      <c r="R9" s="122"/>
    </row>
    <row r="10" spans="2:18" s="4" customFormat="1" ht="61.5" customHeight="1" x14ac:dyDescent="0.35">
      <c r="B10" s="119" t="str">
        <f t="shared" si="0"/>
        <v>IDB006</v>
      </c>
      <c r="C10" s="39" t="s">
        <v>85</v>
      </c>
      <c r="D10" s="39" t="s">
        <v>18</v>
      </c>
      <c r="E10" s="3" t="s">
        <v>86</v>
      </c>
      <c r="F10" s="39" t="s">
        <v>74</v>
      </c>
      <c r="G10" s="39" t="s">
        <v>84</v>
      </c>
      <c r="H10" s="39" t="s">
        <v>74</v>
      </c>
      <c r="I10" s="43">
        <v>46054</v>
      </c>
      <c r="J10" s="44"/>
      <c r="K10" s="46">
        <v>46174</v>
      </c>
      <c r="L10" s="45"/>
      <c r="M10" s="39" t="s">
        <v>23</v>
      </c>
      <c r="N10" s="39" t="s">
        <v>23</v>
      </c>
      <c r="O10" s="60"/>
      <c r="P10" s="71"/>
      <c r="Q10" s="59" t="s">
        <v>71</v>
      </c>
      <c r="R10" s="122"/>
    </row>
    <row r="11" spans="2:18" s="4" customFormat="1" ht="51" customHeight="1" x14ac:dyDescent="0.35">
      <c r="B11" s="119" t="str">
        <f t="shared" si="0"/>
        <v>IDB007</v>
      </c>
      <c r="C11" s="39" t="s">
        <v>87</v>
      </c>
      <c r="D11" s="39" t="s">
        <v>18</v>
      </c>
      <c r="E11" s="3" t="s">
        <v>88</v>
      </c>
      <c r="F11" s="39" t="s">
        <v>89</v>
      </c>
      <c r="G11" s="39" t="s">
        <v>84</v>
      </c>
      <c r="H11" s="39" t="s">
        <v>89</v>
      </c>
      <c r="I11" s="46">
        <v>46174</v>
      </c>
      <c r="J11" s="46">
        <v>46113</v>
      </c>
      <c r="K11" s="46">
        <v>46266</v>
      </c>
      <c r="L11" s="45"/>
      <c r="M11" s="39" t="s">
        <v>42</v>
      </c>
      <c r="N11" s="39" t="s">
        <v>42</v>
      </c>
      <c r="O11" s="60"/>
      <c r="P11" s="71"/>
      <c r="Q11" s="59" t="s">
        <v>71</v>
      </c>
      <c r="R11" s="122"/>
    </row>
    <row r="12" spans="2:18" s="4" customFormat="1" ht="68.150000000000006" customHeight="1" x14ac:dyDescent="0.35">
      <c r="B12" s="119" t="str">
        <f t="shared" si="0"/>
        <v>IDB008</v>
      </c>
      <c r="C12" s="39" t="s">
        <v>90</v>
      </c>
      <c r="D12" s="39" t="s">
        <v>39</v>
      </c>
      <c r="E12" s="3" t="s">
        <v>91</v>
      </c>
      <c r="F12" s="39" t="s">
        <v>92</v>
      </c>
      <c r="G12" s="3" t="s">
        <v>93</v>
      </c>
      <c r="H12" s="39" t="s">
        <v>92</v>
      </c>
      <c r="I12" s="46">
        <v>46174</v>
      </c>
      <c r="J12" s="44"/>
      <c r="K12" s="46">
        <v>46266</v>
      </c>
      <c r="L12" s="45"/>
      <c r="M12" s="39" t="s">
        <v>23</v>
      </c>
      <c r="N12" s="39" t="s">
        <v>23</v>
      </c>
      <c r="O12" s="60"/>
      <c r="P12" s="71"/>
      <c r="Q12" s="59" t="s">
        <v>71</v>
      </c>
      <c r="R12" s="122"/>
    </row>
    <row r="13" spans="2:18" s="4" customFormat="1" ht="29" x14ac:dyDescent="0.35">
      <c r="B13" s="119" t="str">
        <f t="shared" si="0"/>
        <v>IDB009</v>
      </c>
      <c r="C13" s="39" t="s">
        <v>94</v>
      </c>
      <c r="D13" s="39" t="s">
        <v>39</v>
      </c>
      <c r="E13" s="3" t="s">
        <v>95</v>
      </c>
      <c r="F13" s="39" t="s">
        <v>92</v>
      </c>
      <c r="G13" s="3" t="s">
        <v>93</v>
      </c>
      <c r="H13" s="39" t="s">
        <v>92</v>
      </c>
      <c r="I13" s="46">
        <v>46174</v>
      </c>
      <c r="J13" s="44"/>
      <c r="K13" s="46">
        <v>46266</v>
      </c>
      <c r="L13" s="45"/>
      <c r="M13" s="39" t="s">
        <v>23</v>
      </c>
      <c r="N13" s="39" t="s">
        <v>23</v>
      </c>
      <c r="O13" s="60"/>
      <c r="P13" s="71"/>
      <c r="Q13" s="59" t="s">
        <v>71</v>
      </c>
      <c r="R13" s="121"/>
    </row>
    <row r="14" spans="2:18" s="4" customFormat="1" ht="29" x14ac:dyDescent="0.35">
      <c r="B14" s="119" t="str">
        <f t="shared" si="0"/>
        <v>IDB010</v>
      </c>
      <c r="C14" s="39" t="s">
        <v>96</v>
      </c>
      <c r="D14" s="39" t="s">
        <v>39</v>
      </c>
      <c r="E14" s="3" t="s">
        <v>97</v>
      </c>
      <c r="F14" s="39" t="s">
        <v>98</v>
      </c>
      <c r="G14" s="39" t="s">
        <v>84</v>
      </c>
      <c r="H14" s="39" t="s">
        <v>98</v>
      </c>
      <c r="I14" s="46">
        <v>46266</v>
      </c>
      <c r="J14" s="44"/>
      <c r="K14" s="46">
        <v>46357</v>
      </c>
      <c r="L14" s="45"/>
      <c r="M14" s="39" t="s">
        <v>23</v>
      </c>
      <c r="N14" s="39" t="s">
        <v>23</v>
      </c>
      <c r="O14" s="60"/>
      <c r="P14" s="71"/>
      <c r="Q14" s="59" t="s">
        <v>71</v>
      </c>
      <c r="R14" s="121"/>
    </row>
    <row r="15" spans="2:18" s="4" customFormat="1" ht="43.5" x14ac:dyDescent="0.35">
      <c r="B15" s="119" t="str">
        <f t="shared" si="0"/>
        <v>IDB011</v>
      </c>
      <c r="C15" s="39" t="s">
        <v>99</v>
      </c>
      <c r="D15" s="39" t="s">
        <v>18</v>
      </c>
      <c r="E15" s="3" t="s">
        <v>100</v>
      </c>
      <c r="F15" s="39" t="s">
        <v>98</v>
      </c>
      <c r="G15" s="39" t="s">
        <v>84</v>
      </c>
      <c r="H15" s="39" t="s">
        <v>98</v>
      </c>
      <c r="I15" s="43">
        <v>46054</v>
      </c>
      <c r="J15" s="44"/>
      <c r="K15" s="46">
        <v>46174</v>
      </c>
      <c r="L15" s="45"/>
      <c r="M15" s="39" t="s">
        <v>70</v>
      </c>
      <c r="N15" s="39" t="s">
        <v>70</v>
      </c>
      <c r="O15" s="60"/>
      <c r="P15" s="71"/>
      <c r="Q15" s="59" t="s">
        <v>71</v>
      </c>
      <c r="R15" s="121"/>
    </row>
    <row r="16" spans="2:18" s="4" customFormat="1" ht="43.5" x14ac:dyDescent="0.35">
      <c r="B16" s="119" t="str">
        <f t="shared" si="0"/>
        <v>IDB012</v>
      </c>
      <c r="C16" s="39" t="s">
        <v>101</v>
      </c>
      <c r="D16" s="39" t="s">
        <v>18</v>
      </c>
      <c r="E16" s="3" t="s">
        <v>102</v>
      </c>
      <c r="F16" s="39" t="s">
        <v>98</v>
      </c>
      <c r="G16" s="39" t="s">
        <v>77</v>
      </c>
      <c r="H16" s="39" t="s">
        <v>98</v>
      </c>
      <c r="I16" s="43">
        <v>46023</v>
      </c>
      <c r="J16" s="43">
        <v>46023</v>
      </c>
      <c r="K16" s="46">
        <v>46174</v>
      </c>
      <c r="L16" s="45"/>
      <c r="M16" s="39" t="s">
        <v>42</v>
      </c>
      <c r="N16" s="39" t="s">
        <v>42</v>
      </c>
      <c r="O16" s="60"/>
      <c r="P16" s="71">
        <v>0.8</v>
      </c>
      <c r="Q16" s="59" t="s">
        <v>71</v>
      </c>
      <c r="R16" s="121"/>
    </row>
    <row r="17" spans="2:18" s="4" customFormat="1" ht="43.5" x14ac:dyDescent="0.35">
      <c r="B17" s="119" t="str">
        <f t="shared" si="0"/>
        <v>IDB013</v>
      </c>
      <c r="C17" s="39" t="s">
        <v>103</v>
      </c>
      <c r="D17" s="39" t="s">
        <v>18</v>
      </c>
      <c r="E17" s="3" t="s">
        <v>104</v>
      </c>
      <c r="F17" s="39" t="s">
        <v>98</v>
      </c>
      <c r="G17" s="39" t="s">
        <v>77</v>
      </c>
      <c r="H17" s="39" t="s">
        <v>98</v>
      </c>
      <c r="I17" s="46">
        <v>46174</v>
      </c>
      <c r="J17" s="46">
        <v>46082</v>
      </c>
      <c r="K17" s="46">
        <v>46266</v>
      </c>
      <c r="L17" s="45"/>
      <c r="M17" s="39" t="s">
        <v>42</v>
      </c>
      <c r="N17" s="39" t="s">
        <v>42</v>
      </c>
      <c r="O17" s="60"/>
      <c r="P17" s="71"/>
      <c r="Q17" s="59" t="s">
        <v>71</v>
      </c>
      <c r="R17" s="121"/>
    </row>
    <row r="18" spans="2:18" s="4" customFormat="1" ht="29" x14ac:dyDescent="0.35">
      <c r="B18" s="119" t="str">
        <f t="shared" si="0"/>
        <v>IDB014</v>
      </c>
      <c r="C18" s="39" t="s">
        <v>105</v>
      </c>
      <c r="D18" s="39" t="s">
        <v>66</v>
      </c>
      <c r="E18" s="3" t="s">
        <v>106</v>
      </c>
      <c r="F18" s="39" t="s">
        <v>98</v>
      </c>
      <c r="G18" s="39" t="s">
        <v>77</v>
      </c>
      <c r="H18" s="39" t="s">
        <v>98</v>
      </c>
      <c r="I18" s="43">
        <v>46054</v>
      </c>
      <c r="J18" s="46">
        <v>46082</v>
      </c>
      <c r="K18" s="46">
        <v>46174</v>
      </c>
      <c r="L18" s="46">
        <v>46174</v>
      </c>
      <c r="M18" s="39" t="s">
        <v>70</v>
      </c>
      <c r="N18" s="39" t="s">
        <v>70</v>
      </c>
      <c r="O18" s="60"/>
      <c r="P18" s="71">
        <v>1</v>
      </c>
      <c r="Q18" s="59" t="s">
        <v>71</v>
      </c>
      <c r="R18" s="121"/>
    </row>
    <row r="19" spans="2:18" s="4" customFormat="1" ht="29" x14ac:dyDescent="0.35">
      <c r="B19" s="119" t="str">
        <f t="shared" si="0"/>
        <v>IDB015</v>
      </c>
      <c r="C19" s="39" t="s">
        <v>107</v>
      </c>
      <c r="D19" s="39" t="s">
        <v>39</v>
      </c>
      <c r="E19" s="3" t="s">
        <v>108</v>
      </c>
      <c r="F19" s="39" t="s">
        <v>109</v>
      </c>
      <c r="G19" s="39" t="s">
        <v>84</v>
      </c>
      <c r="H19" s="39" t="s">
        <v>109</v>
      </c>
      <c r="I19" s="46">
        <v>46174</v>
      </c>
      <c r="J19" s="44"/>
      <c r="K19" s="46">
        <v>46266</v>
      </c>
      <c r="L19" s="45"/>
      <c r="M19" s="39" t="s">
        <v>70</v>
      </c>
      <c r="N19" s="39" t="s">
        <v>70</v>
      </c>
      <c r="O19" s="60"/>
      <c r="P19" s="71"/>
      <c r="Q19" s="59" t="s">
        <v>71</v>
      </c>
      <c r="R19" s="121"/>
    </row>
    <row r="20" spans="2:18" s="4" customFormat="1" ht="29" x14ac:dyDescent="0.35">
      <c r="B20" s="119" t="str">
        <f t="shared" si="0"/>
        <v>IDB016</v>
      </c>
      <c r="C20" s="39" t="s">
        <v>110</v>
      </c>
      <c r="D20" s="39" t="s">
        <v>18</v>
      </c>
      <c r="E20" s="3" t="s">
        <v>111</v>
      </c>
      <c r="F20" s="39" t="s">
        <v>112</v>
      </c>
      <c r="G20" s="39" t="s">
        <v>84</v>
      </c>
      <c r="H20" s="39" t="s">
        <v>112</v>
      </c>
      <c r="I20" s="43">
        <v>46054</v>
      </c>
      <c r="J20" s="44"/>
      <c r="K20" s="46">
        <v>46174</v>
      </c>
      <c r="L20" s="45"/>
      <c r="M20" s="39" t="s">
        <v>70</v>
      </c>
      <c r="N20" s="39" t="s">
        <v>70</v>
      </c>
      <c r="O20" s="60"/>
      <c r="P20" s="71"/>
      <c r="Q20" s="59" t="s">
        <v>71</v>
      </c>
      <c r="R20" s="121"/>
    </row>
    <row r="21" spans="2:18" s="4" customFormat="1" ht="43.5" x14ac:dyDescent="0.35">
      <c r="B21" s="119" t="str">
        <f t="shared" si="0"/>
        <v>IDB017</v>
      </c>
      <c r="C21" s="3" t="s">
        <v>113</v>
      </c>
      <c r="D21" s="39" t="s">
        <v>39</v>
      </c>
      <c r="E21" s="3" t="s">
        <v>114</v>
      </c>
      <c r="F21" s="39" t="s">
        <v>80</v>
      </c>
      <c r="G21" s="39" t="s">
        <v>84</v>
      </c>
      <c r="H21" s="39" t="s">
        <v>80</v>
      </c>
      <c r="I21" s="46">
        <v>46266</v>
      </c>
      <c r="J21" s="44"/>
      <c r="K21" s="46">
        <v>46357</v>
      </c>
      <c r="L21" s="45"/>
      <c r="M21" s="39" t="s">
        <v>23</v>
      </c>
      <c r="N21" s="39" t="s">
        <v>23</v>
      </c>
      <c r="O21" s="60"/>
      <c r="P21" s="71"/>
      <c r="Q21" s="59" t="s">
        <v>71</v>
      </c>
      <c r="R21" s="121"/>
    </row>
    <row r="22" spans="2:18" s="4" customFormat="1" ht="72.5" x14ac:dyDescent="0.35">
      <c r="B22" s="119" t="str">
        <f t="shared" si="0"/>
        <v>IDB018</v>
      </c>
      <c r="C22" s="39" t="s">
        <v>115</v>
      </c>
      <c r="D22" s="39" t="s">
        <v>66</v>
      </c>
      <c r="E22" s="3" t="s">
        <v>116</v>
      </c>
      <c r="F22" s="39" t="s">
        <v>117</v>
      </c>
      <c r="G22" s="3" t="s">
        <v>93</v>
      </c>
      <c r="H22" s="39" t="s">
        <v>117</v>
      </c>
      <c r="I22" s="43">
        <v>45962</v>
      </c>
      <c r="J22" s="46">
        <v>45962</v>
      </c>
      <c r="K22" s="46">
        <v>46082</v>
      </c>
      <c r="L22" s="46">
        <v>46082</v>
      </c>
      <c r="M22" s="39" t="s">
        <v>42</v>
      </c>
      <c r="N22" s="39" t="s">
        <v>42</v>
      </c>
      <c r="O22" s="60"/>
      <c r="P22" s="71"/>
      <c r="Q22" s="59" t="s">
        <v>71</v>
      </c>
      <c r="R22" s="121"/>
    </row>
    <row r="23" spans="2:18" s="4" customFormat="1" ht="43.5" x14ac:dyDescent="0.35">
      <c r="B23" s="128" t="str">
        <f t="shared" si="0"/>
        <v>IDB019</v>
      </c>
      <c r="C23" s="129" t="s">
        <v>118</v>
      </c>
      <c r="D23" s="129" t="s">
        <v>39</v>
      </c>
      <c r="E23" s="130" t="s">
        <v>119</v>
      </c>
      <c r="F23" s="129" t="s">
        <v>120</v>
      </c>
      <c r="G23" s="130" t="s">
        <v>93</v>
      </c>
      <c r="H23" s="129" t="s">
        <v>120</v>
      </c>
      <c r="I23" s="131">
        <v>46174</v>
      </c>
      <c r="J23" s="132"/>
      <c r="K23" s="131">
        <v>46266</v>
      </c>
      <c r="L23" s="133"/>
      <c r="M23" s="129" t="s">
        <v>42</v>
      </c>
      <c r="N23" s="129" t="s">
        <v>42</v>
      </c>
      <c r="O23" s="134"/>
      <c r="P23" s="75"/>
      <c r="Q23" s="135" t="s">
        <v>71</v>
      </c>
      <c r="R23" s="136"/>
    </row>
    <row r="24" spans="2:18" s="4" customFormat="1" x14ac:dyDescent="0.35">
      <c r="B24" s="5"/>
      <c r="E24" s="2"/>
      <c r="I24" s="5"/>
      <c r="J24" s="5"/>
      <c r="K24" s="5"/>
      <c r="L24" s="5"/>
      <c r="O24" s="61"/>
      <c r="P24" s="72"/>
      <c r="Q24" s="61"/>
    </row>
    <row r="25" spans="2:18" s="4" customFormat="1" x14ac:dyDescent="0.35">
      <c r="B25" s="5"/>
      <c r="E25" s="2"/>
      <c r="I25" s="5"/>
      <c r="J25" s="5"/>
      <c r="K25" s="5"/>
      <c r="L25" s="5"/>
      <c r="O25" s="61"/>
      <c r="P25" s="72"/>
      <c r="Q25" s="61"/>
    </row>
    <row r="26" spans="2:18" s="4" customFormat="1" x14ac:dyDescent="0.35">
      <c r="B26" s="5"/>
      <c r="E26" s="2"/>
      <c r="I26" s="5"/>
      <c r="J26" s="5"/>
      <c r="K26" s="5"/>
      <c r="L26" s="5"/>
      <c r="O26" s="61"/>
      <c r="P26" s="72"/>
      <c r="Q26" s="61"/>
    </row>
    <row r="27" spans="2:18" s="4" customFormat="1" x14ac:dyDescent="0.35">
      <c r="B27" s="5"/>
      <c r="E27" s="2"/>
      <c r="I27" s="5"/>
      <c r="J27" s="5"/>
      <c r="K27" s="5"/>
      <c r="L27" s="5"/>
      <c r="O27" s="61"/>
      <c r="P27" s="72"/>
      <c r="Q27" s="61"/>
    </row>
    <row r="28" spans="2:18" s="4" customFormat="1" x14ac:dyDescent="0.35">
      <c r="B28" s="5"/>
      <c r="E28" s="2"/>
      <c r="I28" s="5"/>
      <c r="J28" s="5"/>
      <c r="K28" s="5"/>
      <c r="L28" s="5"/>
      <c r="O28" s="61"/>
      <c r="P28" s="72"/>
      <c r="Q28" s="61"/>
    </row>
    <row r="29" spans="2:18" s="4" customFormat="1" x14ac:dyDescent="0.35">
      <c r="B29" s="5"/>
      <c r="E29" s="2"/>
      <c r="I29" s="5"/>
      <c r="J29" s="5"/>
      <c r="K29" s="5"/>
      <c r="L29" s="5"/>
      <c r="O29" s="61"/>
      <c r="P29" s="72"/>
      <c r="Q29" s="61"/>
    </row>
    <row r="30" spans="2:18" s="4" customFormat="1" x14ac:dyDescent="0.35">
      <c r="B30" s="5"/>
      <c r="E30" s="2"/>
      <c r="I30" s="5"/>
      <c r="J30" s="5"/>
      <c r="K30" s="5"/>
      <c r="L30" s="5"/>
      <c r="O30" s="61"/>
      <c r="P30" s="72"/>
      <c r="Q30" s="61"/>
    </row>
    <row r="31" spans="2:18" s="4" customFormat="1" x14ac:dyDescent="0.35">
      <c r="B31" s="5"/>
      <c r="E31" s="2"/>
      <c r="I31" s="5"/>
      <c r="J31" s="5"/>
      <c r="K31" s="5"/>
      <c r="L31" s="5"/>
      <c r="O31" s="61"/>
      <c r="P31" s="72"/>
      <c r="Q31" s="61"/>
    </row>
    <row r="32" spans="2:18" s="4" customFormat="1" x14ac:dyDescent="0.35">
      <c r="B32" s="5"/>
      <c r="E32" s="2"/>
      <c r="I32" s="5"/>
      <c r="J32" s="5"/>
      <c r="K32" s="5"/>
      <c r="L32" s="5"/>
      <c r="O32" s="61"/>
      <c r="P32" s="72"/>
      <c r="Q32" s="61"/>
    </row>
    <row r="33" spans="2:17" s="4" customFormat="1" x14ac:dyDescent="0.35">
      <c r="B33" s="5"/>
      <c r="E33" s="2"/>
      <c r="I33" s="5"/>
      <c r="J33" s="5"/>
      <c r="K33" s="5"/>
      <c r="L33" s="5"/>
      <c r="O33" s="61"/>
      <c r="P33" s="72"/>
      <c r="Q33" s="61"/>
    </row>
    <row r="34" spans="2:17" s="4" customFormat="1" x14ac:dyDescent="0.35">
      <c r="B34" s="5"/>
      <c r="E34" s="2"/>
      <c r="I34" s="5"/>
      <c r="J34" s="5"/>
      <c r="K34" s="5"/>
      <c r="L34" s="5"/>
      <c r="O34" s="61"/>
      <c r="P34" s="72"/>
      <c r="Q34" s="61"/>
    </row>
    <row r="35" spans="2:17" s="4" customFormat="1" x14ac:dyDescent="0.35">
      <c r="B35" s="5"/>
      <c r="E35" s="2"/>
      <c r="I35" s="5"/>
      <c r="J35" s="5"/>
      <c r="K35" s="5"/>
      <c r="L35" s="5"/>
      <c r="O35" s="61"/>
      <c r="P35" s="72"/>
      <c r="Q35" s="61"/>
    </row>
  </sheetData>
  <pageMargins left="0.7" right="0.7" top="0.75" bottom="0.75" header="0.3" footer="0.3"/>
  <pageSetup paperSize="9" orientation="portrait"/>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7E323-23CE-48FC-8929-DB6AE1A107A9}">
  <sheetPr>
    <tabColor rgb="FFFFFF00"/>
  </sheetPr>
  <dimension ref="B2:M23"/>
  <sheetViews>
    <sheetView topLeftCell="B1" workbookViewId="0">
      <selection activeCell="B5" sqref="B5:K23"/>
    </sheetView>
  </sheetViews>
  <sheetFormatPr defaultRowHeight="14.5" x14ac:dyDescent="0.35"/>
  <cols>
    <col min="1" max="1" width="4.1796875" customWidth="1"/>
    <col min="2" max="2" width="5.81640625" customWidth="1"/>
    <col min="3" max="3" width="48.26953125" customWidth="1"/>
    <col min="4" max="4" width="17.54296875" customWidth="1"/>
    <col min="5" max="5" width="44.26953125" customWidth="1"/>
    <col min="6" max="6" width="13.81640625" bestFit="1" customWidth="1"/>
    <col min="7" max="7" width="29" customWidth="1"/>
    <col min="8" max="8" width="30.7265625" hidden="1" customWidth="1"/>
    <col min="9" max="9" width="20.81640625" customWidth="1"/>
    <col min="10" max="10" width="23.1796875" customWidth="1"/>
    <col min="11" max="12" width="29" customWidth="1"/>
    <col min="13" max="13" width="19.453125" customWidth="1"/>
  </cols>
  <sheetData>
    <row r="2" spans="2:13" ht="23.5" x14ac:dyDescent="0.55000000000000004">
      <c r="B2" s="13" t="s">
        <v>121</v>
      </c>
    </row>
    <row r="4" spans="2:13" s="4" customFormat="1" ht="29" x14ac:dyDescent="0.35">
      <c r="B4" s="15" t="s">
        <v>122</v>
      </c>
      <c r="C4" s="15" t="s">
        <v>2</v>
      </c>
      <c r="D4" s="36" t="s">
        <v>123</v>
      </c>
      <c r="E4" s="15" t="s">
        <v>4</v>
      </c>
      <c r="F4" s="15" t="s">
        <v>124</v>
      </c>
      <c r="G4" s="15" t="s">
        <v>7</v>
      </c>
      <c r="H4" s="15" t="s">
        <v>125</v>
      </c>
      <c r="I4" s="15" t="s">
        <v>12</v>
      </c>
      <c r="J4" s="15" t="s">
        <v>13</v>
      </c>
      <c r="K4" s="15" t="s">
        <v>126</v>
      </c>
      <c r="L4" s="16" t="s">
        <v>127</v>
      </c>
      <c r="M4" s="34" t="s">
        <v>14</v>
      </c>
    </row>
    <row r="5" spans="2:13" s="4" customFormat="1" ht="32.25" customHeight="1" x14ac:dyDescent="0.35">
      <c r="B5" s="6">
        <f>ROW() - ROW(Table13[[#Headers],[No]])</f>
        <v>1</v>
      </c>
      <c r="C5" s="8" t="s">
        <v>65</v>
      </c>
      <c r="D5" s="8" t="s">
        <v>66</v>
      </c>
      <c r="E5" s="9" t="s">
        <v>67</v>
      </c>
      <c r="F5" s="8" t="s">
        <v>69</v>
      </c>
      <c r="G5" s="8" t="s">
        <v>68</v>
      </c>
      <c r="H5" s="8"/>
      <c r="I5" s="8" t="s">
        <v>70</v>
      </c>
      <c r="J5" s="8"/>
      <c r="K5" s="8" t="s">
        <v>128</v>
      </c>
      <c r="L5" s="10"/>
      <c r="M5" s="20"/>
    </row>
    <row r="6" spans="2:13" s="4" customFormat="1" ht="32.25" customHeight="1" x14ac:dyDescent="0.35">
      <c r="B6" s="6">
        <f>ROW() - ROW(Table13[[#Headers],[No]])</f>
        <v>2</v>
      </c>
      <c r="C6" s="8" t="s">
        <v>72</v>
      </c>
      <c r="D6" s="8" t="s">
        <v>66</v>
      </c>
      <c r="E6" s="9" t="s">
        <v>73</v>
      </c>
      <c r="F6" s="8" t="s">
        <v>69</v>
      </c>
      <c r="G6" s="11" t="s">
        <v>74</v>
      </c>
      <c r="H6" s="8"/>
      <c r="I6" s="8" t="s">
        <v>70</v>
      </c>
      <c r="J6" s="8"/>
      <c r="K6" s="8" t="s">
        <v>128</v>
      </c>
      <c r="L6" s="10"/>
      <c r="M6" s="20"/>
    </row>
    <row r="7" spans="2:13" s="4" customFormat="1" ht="32.25" customHeight="1" x14ac:dyDescent="0.35">
      <c r="B7" s="6">
        <f>ROW() - ROW(Table13[[#Headers],[No]])</f>
        <v>3</v>
      </c>
      <c r="C7" s="8" t="s">
        <v>75</v>
      </c>
      <c r="D7" s="8" t="s">
        <v>66</v>
      </c>
      <c r="E7" s="9" t="s">
        <v>76</v>
      </c>
      <c r="F7" s="8" t="s">
        <v>77</v>
      </c>
      <c r="G7" s="11" t="s">
        <v>74</v>
      </c>
      <c r="H7" s="8"/>
      <c r="I7" s="8" t="s">
        <v>70</v>
      </c>
      <c r="J7" s="8"/>
      <c r="K7" s="8" t="s">
        <v>128</v>
      </c>
      <c r="L7" s="10"/>
      <c r="M7" s="20"/>
    </row>
    <row r="8" spans="2:13" s="4" customFormat="1" ht="32.25" customHeight="1" x14ac:dyDescent="0.35">
      <c r="B8" s="6">
        <f>ROW() - ROW(Table13[[#Headers],[No]])</f>
        <v>4</v>
      </c>
      <c r="C8" s="8" t="s">
        <v>78</v>
      </c>
      <c r="D8" s="8" t="s">
        <v>66</v>
      </c>
      <c r="E8" s="9" t="s">
        <v>79</v>
      </c>
      <c r="F8" s="12" t="s">
        <v>129</v>
      </c>
      <c r="G8" s="8" t="s">
        <v>80</v>
      </c>
      <c r="H8" s="8"/>
      <c r="I8" s="8" t="s">
        <v>42</v>
      </c>
      <c r="J8" s="8"/>
      <c r="K8" s="8" t="s">
        <v>128</v>
      </c>
      <c r="L8" s="10"/>
      <c r="M8" s="20"/>
    </row>
    <row r="9" spans="2:13" s="4" customFormat="1" ht="32.25" customHeight="1" x14ac:dyDescent="0.35">
      <c r="B9" s="7">
        <f>ROW() - ROW(Table13[[#Headers],[No]])</f>
        <v>5</v>
      </c>
      <c r="C9" s="12" t="s">
        <v>82</v>
      </c>
      <c r="D9" s="8" t="s">
        <v>130</v>
      </c>
      <c r="E9" s="12" t="s">
        <v>83</v>
      </c>
      <c r="F9" s="8" t="s">
        <v>84</v>
      </c>
      <c r="G9" s="8" t="s">
        <v>74</v>
      </c>
      <c r="H9" s="8" t="s">
        <v>131</v>
      </c>
      <c r="I9" s="8" t="s">
        <v>70</v>
      </c>
      <c r="J9" s="8"/>
      <c r="K9" s="8" t="s">
        <v>132</v>
      </c>
      <c r="L9" s="10" t="s">
        <v>131</v>
      </c>
      <c r="M9" s="20"/>
    </row>
    <row r="10" spans="2:13" s="4" customFormat="1" ht="32.25" customHeight="1" x14ac:dyDescent="0.35">
      <c r="B10" s="7">
        <f>ROW() - ROW(Table13[[#Headers],[No]])</f>
        <v>6</v>
      </c>
      <c r="C10" s="8" t="s">
        <v>85</v>
      </c>
      <c r="D10" s="8" t="s">
        <v>130</v>
      </c>
      <c r="E10" s="12" t="s">
        <v>86</v>
      </c>
      <c r="F10" s="8" t="s">
        <v>84</v>
      </c>
      <c r="G10" s="8" t="s">
        <v>74</v>
      </c>
      <c r="H10" s="8" t="s">
        <v>131</v>
      </c>
      <c r="I10" s="8" t="s">
        <v>23</v>
      </c>
      <c r="J10" s="8"/>
      <c r="K10" s="8" t="s">
        <v>132</v>
      </c>
      <c r="L10" s="10" t="s">
        <v>131</v>
      </c>
      <c r="M10" s="20"/>
    </row>
    <row r="11" spans="2:13" s="4" customFormat="1" ht="32.25" customHeight="1" x14ac:dyDescent="0.35">
      <c r="B11" s="7">
        <f>ROW() - ROW(Table13[[#Headers],[No]])</f>
        <v>7</v>
      </c>
      <c r="C11" s="8" t="s">
        <v>87</v>
      </c>
      <c r="D11" s="8" t="s">
        <v>130</v>
      </c>
      <c r="E11" s="12" t="s">
        <v>88</v>
      </c>
      <c r="F11" s="8" t="s">
        <v>84</v>
      </c>
      <c r="G11" s="8" t="s">
        <v>89</v>
      </c>
      <c r="H11" s="8" t="s">
        <v>131</v>
      </c>
      <c r="I11" s="8" t="s">
        <v>42</v>
      </c>
      <c r="J11" s="8"/>
      <c r="K11" s="8" t="s">
        <v>133</v>
      </c>
      <c r="L11" s="10" t="s">
        <v>131</v>
      </c>
      <c r="M11" s="20"/>
    </row>
    <row r="12" spans="2:13" s="4" customFormat="1" ht="32.25" customHeight="1" x14ac:dyDescent="0.35">
      <c r="B12" s="7">
        <f>ROW() - ROW(Table13[[#Headers],[No]])</f>
        <v>8</v>
      </c>
      <c r="C12" s="8" t="s">
        <v>90</v>
      </c>
      <c r="D12" s="8" t="s">
        <v>130</v>
      </c>
      <c r="E12" s="12" t="s">
        <v>91</v>
      </c>
      <c r="F12" s="12" t="s">
        <v>134</v>
      </c>
      <c r="G12" s="8" t="s">
        <v>92</v>
      </c>
      <c r="H12" s="8" t="s">
        <v>131</v>
      </c>
      <c r="I12" s="8" t="s">
        <v>23</v>
      </c>
      <c r="J12" s="8"/>
      <c r="K12" s="8" t="s">
        <v>133</v>
      </c>
      <c r="L12" s="10" t="s">
        <v>131</v>
      </c>
      <c r="M12" s="20"/>
    </row>
    <row r="13" spans="2:13" s="4" customFormat="1" ht="32.25" customHeight="1" x14ac:dyDescent="0.35">
      <c r="B13" s="7">
        <f>ROW() - ROW(Table13[[#Headers],[No]])</f>
        <v>9</v>
      </c>
      <c r="C13" s="8" t="s">
        <v>94</v>
      </c>
      <c r="D13" s="8" t="s">
        <v>130</v>
      </c>
      <c r="E13" s="12" t="s">
        <v>95</v>
      </c>
      <c r="F13" s="12" t="s">
        <v>134</v>
      </c>
      <c r="G13" s="8" t="s">
        <v>92</v>
      </c>
      <c r="H13" s="8" t="s">
        <v>131</v>
      </c>
      <c r="I13" s="8" t="s">
        <v>23</v>
      </c>
      <c r="J13" s="8"/>
      <c r="K13" s="8" t="s">
        <v>133</v>
      </c>
      <c r="L13" s="10" t="s">
        <v>131</v>
      </c>
      <c r="M13" s="20"/>
    </row>
    <row r="14" spans="2:13" s="4" customFormat="1" ht="32.25" customHeight="1" x14ac:dyDescent="0.35">
      <c r="B14" s="7">
        <f>ROW() - ROW(Table13[[#Headers],[No]])</f>
        <v>10</v>
      </c>
      <c r="C14" s="8" t="s">
        <v>96</v>
      </c>
      <c r="D14" s="8" t="s">
        <v>130</v>
      </c>
      <c r="E14" s="12" t="s">
        <v>97</v>
      </c>
      <c r="F14" s="8" t="s">
        <v>84</v>
      </c>
      <c r="G14" s="8" t="s">
        <v>98</v>
      </c>
      <c r="H14" s="8" t="s">
        <v>131</v>
      </c>
      <c r="I14" s="8" t="s">
        <v>23</v>
      </c>
      <c r="J14" s="8"/>
      <c r="K14" s="8" t="s">
        <v>135</v>
      </c>
      <c r="L14" s="10" t="s">
        <v>131</v>
      </c>
      <c r="M14" s="20"/>
    </row>
    <row r="15" spans="2:13" s="4" customFormat="1" ht="32.25" customHeight="1" x14ac:dyDescent="0.35">
      <c r="B15" s="7">
        <f>ROW() - ROW(Table13[[#Headers],[No]])</f>
        <v>11</v>
      </c>
      <c r="C15" s="8" t="s">
        <v>99</v>
      </c>
      <c r="D15" s="8" t="s">
        <v>130</v>
      </c>
      <c r="E15" s="12" t="s">
        <v>100</v>
      </c>
      <c r="F15" s="8" t="s">
        <v>84</v>
      </c>
      <c r="G15" s="8" t="s">
        <v>98</v>
      </c>
      <c r="H15" s="8" t="s">
        <v>131</v>
      </c>
      <c r="I15" s="8" t="s">
        <v>70</v>
      </c>
      <c r="J15" s="8"/>
      <c r="K15" s="8" t="s">
        <v>132</v>
      </c>
      <c r="L15" s="10" t="s">
        <v>131</v>
      </c>
      <c r="M15" s="20"/>
    </row>
    <row r="16" spans="2:13" s="4" customFormat="1" ht="32.25" customHeight="1" x14ac:dyDescent="0.35">
      <c r="B16" s="7">
        <f>ROW() - ROW(Table13[[#Headers],[No]])</f>
        <v>12</v>
      </c>
      <c r="C16" s="8" t="s">
        <v>101</v>
      </c>
      <c r="D16" s="8" t="s">
        <v>130</v>
      </c>
      <c r="E16" s="12" t="s">
        <v>102</v>
      </c>
      <c r="F16" s="8" t="s">
        <v>77</v>
      </c>
      <c r="G16" s="8" t="s">
        <v>98</v>
      </c>
      <c r="H16" s="8" t="s">
        <v>131</v>
      </c>
      <c r="I16" s="8" t="s">
        <v>42</v>
      </c>
      <c r="J16" s="8"/>
      <c r="K16" s="8" t="s">
        <v>132</v>
      </c>
      <c r="L16" s="10" t="s">
        <v>131</v>
      </c>
      <c r="M16" s="20"/>
    </row>
    <row r="17" spans="2:13" s="4" customFormat="1" ht="32.25" customHeight="1" x14ac:dyDescent="0.35">
      <c r="B17" s="7">
        <f>ROW() - ROW(Table13[[#Headers],[No]])</f>
        <v>13</v>
      </c>
      <c r="C17" s="8" t="s">
        <v>103</v>
      </c>
      <c r="D17" s="8" t="s">
        <v>130</v>
      </c>
      <c r="E17" s="12" t="s">
        <v>104</v>
      </c>
      <c r="F17" s="8" t="s">
        <v>77</v>
      </c>
      <c r="G17" s="8" t="s">
        <v>98</v>
      </c>
      <c r="H17" s="8" t="s">
        <v>131</v>
      </c>
      <c r="I17" s="8" t="s">
        <v>42</v>
      </c>
      <c r="J17" s="8"/>
      <c r="K17" s="8" t="s">
        <v>133</v>
      </c>
      <c r="L17" s="10" t="s">
        <v>131</v>
      </c>
      <c r="M17" s="20"/>
    </row>
    <row r="18" spans="2:13" s="4" customFormat="1" ht="32.25" customHeight="1" x14ac:dyDescent="0.35">
      <c r="B18" s="7">
        <f>ROW() - ROW(Table13[[#Headers],[No]])</f>
        <v>14</v>
      </c>
      <c r="C18" s="8" t="s">
        <v>105</v>
      </c>
      <c r="D18" s="8" t="s">
        <v>66</v>
      </c>
      <c r="E18" s="12" t="s">
        <v>106</v>
      </c>
      <c r="F18" s="8" t="s">
        <v>77</v>
      </c>
      <c r="G18" s="8" t="s">
        <v>98</v>
      </c>
      <c r="H18" s="8" t="s">
        <v>131</v>
      </c>
      <c r="I18" s="8" t="s">
        <v>70</v>
      </c>
      <c r="J18" s="8"/>
      <c r="K18" s="8" t="s">
        <v>132</v>
      </c>
      <c r="L18" s="10" t="s">
        <v>131</v>
      </c>
      <c r="M18" s="20"/>
    </row>
    <row r="19" spans="2:13" s="4" customFormat="1" ht="32.25" customHeight="1" x14ac:dyDescent="0.35">
      <c r="B19" s="7">
        <f>ROW() - ROW(Table13[[#Headers],[No]])</f>
        <v>15</v>
      </c>
      <c r="C19" s="8" t="s">
        <v>107</v>
      </c>
      <c r="D19" s="8" t="s">
        <v>130</v>
      </c>
      <c r="E19" s="12" t="s">
        <v>108</v>
      </c>
      <c r="F19" s="8" t="s">
        <v>84</v>
      </c>
      <c r="G19" s="8" t="s">
        <v>109</v>
      </c>
      <c r="H19" s="8" t="s">
        <v>131</v>
      </c>
      <c r="I19" s="8" t="s">
        <v>70</v>
      </c>
      <c r="J19" s="8"/>
      <c r="K19" s="8" t="s">
        <v>133</v>
      </c>
      <c r="L19" s="10" t="s">
        <v>131</v>
      </c>
      <c r="M19" s="20"/>
    </row>
    <row r="20" spans="2:13" s="4" customFormat="1" ht="32.25" customHeight="1" x14ac:dyDescent="0.35">
      <c r="B20" s="17">
        <f>ROW() - ROW(Table13[[#Headers],[No]])</f>
        <v>16</v>
      </c>
      <c r="C20" s="19" t="s">
        <v>110</v>
      </c>
      <c r="D20" s="19" t="s">
        <v>130</v>
      </c>
      <c r="E20" s="18" t="s">
        <v>111</v>
      </c>
      <c r="F20" s="19" t="s">
        <v>84</v>
      </c>
      <c r="G20" s="19" t="s">
        <v>112</v>
      </c>
      <c r="H20" s="19" t="s">
        <v>131</v>
      </c>
      <c r="I20" s="19" t="s">
        <v>70</v>
      </c>
      <c r="J20" s="19"/>
      <c r="K20" s="19" t="s">
        <v>132</v>
      </c>
      <c r="L20" s="27" t="s">
        <v>131</v>
      </c>
      <c r="M20" s="20"/>
    </row>
    <row r="21" spans="2:13" s="4" customFormat="1" ht="32.25" customHeight="1" x14ac:dyDescent="0.35">
      <c r="B21" s="23">
        <f>ROW() - ROW(Table13[[#Headers],[No]])</f>
        <v>17</v>
      </c>
      <c r="C21" s="21" t="s">
        <v>113</v>
      </c>
      <c r="D21" s="20" t="s">
        <v>130</v>
      </c>
      <c r="E21" s="21" t="s">
        <v>114</v>
      </c>
      <c r="F21" s="20" t="s">
        <v>84</v>
      </c>
      <c r="G21" s="20" t="s">
        <v>80</v>
      </c>
      <c r="H21" s="20" t="s">
        <v>131</v>
      </c>
      <c r="I21" s="20" t="s">
        <v>23</v>
      </c>
      <c r="J21" s="20"/>
      <c r="K21" s="20" t="s">
        <v>135</v>
      </c>
      <c r="L21" s="33" t="s">
        <v>131</v>
      </c>
      <c r="M21" s="20"/>
    </row>
    <row r="22" spans="2:13" ht="68.25" customHeight="1" x14ac:dyDescent="0.35">
      <c r="B22" s="23">
        <f>ROW() - ROW(Table13[[#Headers],[No]])</f>
        <v>18</v>
      </c>
      <c r="C22" s="20" t="s">
        <v>115</v>
      </c>
      <c r="D22" s="20" t="s">
        <v>66</v>
      </c>
      <c r="E22" s="21" t="s">
        <v>116</v>
      </c>
      <c r="F22" s="21" t="s">
        <v>134</v>
      </c>
      <c r="G22" s="20" t="s">
        <v>117</v>
      </c>
      <c r="H22" s="20" t="s">
        <v>136</v>
      </c>
      <c r="I22" s="20" t="s">
        <v>42</v>
      </c>
      <c r="J22" s="20"/>
      <c r="K22" s="20" t="s">
        <v>128</v>
      </c>
      <c r="L22" s="33"/>
      <c r="M22" s="20"/>
    </row>
    <row r="23" spans="2:13" ht="68.25" customHeight="1" x14ac:dyDescent="0.35">
      <c r="B23" s="23">
        <f>ROW() - ROW(Table13[[#Headers],[No]])</f>
        <v>19</v>
      </c>
      <c r="C23" s="20" t="s">
        <v>118</v>
      </c>
      <c r="D23" s="20" t="s">
        <v>130</v>
      </c>
      <c r="E23" s="21" t="s">
        <v>119</v>
      </c>
      <c r="F23" s="21" t="s">
        <v>134</v>
      </c>
      <c r="G23" s="20" t="s">
        <v>120</v>
      </c>
      <c r="H23" s="20" t="s">
        <v>136</v>
      </c>
      <c r="I23" s="20" t="s">
        <v>42</v>
      </c>
      <c r="J23" s="20"/>
      <c r="K23" s="20" t="s">
        <v>133</v>
      </c>
      <c r="L23" s="33"/>
      <c r="M23" s="20"/>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F0E01-F83F-459C-8C66-B2CB55411F0F}">
  <sheetPr>
    <tabColor theme="4" tint="0.59999389629810485"/>
  </sheetPr>
  <dimension ref="B1:R35"/>
  <sheetViews>
    <sheetView topLeftCell="B4" zoomScale="90" zoomScaleNormal="90" workbookViewId="0">
      <selection activeCell="B4" sqref="B4:R30"/>
    </sheetView>
  </sheetViews>
  <sheetFormatPr defaultRowHeight="14.5" x14ac:dyDescent="0.35"/>
  <cols>
    <col min="1" max="1" width="2.26953125" customWidth="1"/>
    <col min="2" max="2" width="14.54296875" style="1" customWidth="1"/>
    <col min="3" max="3" width="42.7265625" customWidth="1"/>
    <col min="4" max="4" width="39.7265625" customWidth="1"/>
    <col min="5" max="5" width="38.1796875" style="14" customWidth="1"/>
    <col min="6" max="6" width="17.26953125" customWidth="1"/>
    <col min="7" max="7" width="25.1796875" customWidth="1"/>
    <col min="8" max="8" width="24.81640625" customWidth="1"/>
    <col min="9" max="12" width="14.1796875" style="1" customWidth="1"/>
    <col min="13" max="13" width="28.90625" customWidth="1"/>
    <col min="14" max="14" width="29.90625" customWidth="1"/>
    <col min="15" max="15" width="20.1796875" style="65" customWidth="1"/>
    <col min="16" max="16" width="20.1796875" style="73" customWidth="1"/>
    <col min="17" max="17" width="20.1796875" style="65" customWidth="1"/>
    <col min="18" max="18" width="38" customWidth="1"/>
  </cols>
  <sheetData>
    <row r="1" spans="2:18" x14ac:dyDescent="0.35">
      <c r="I1"/>
      <c r="J1"/>
      <c r="K1"/>
      <c r="L1"/>
      <c r="O1"/>
      <c r="P1"/>
      <c r="Q1"/>
    </row>
    <row r="2" spans="2:18" ht="23.5" x14ac:dyDescent="0.55000000000000004">
      <c r="B2" s="22" t="s">
        <v>137</v>
      </c>
      <c r="I2"/>
      <c r="J2"/>
      <c r="K2"/>
      <c r="L2"/>
      <c r="O2"/>
      <c r="P2"/>
      <c r="Q2"/>
    </row>
    <row r="3" spans="2:18" x14ac:dyDescent="0.35">
      <c r="I3"/>
      <c r="J3"/>
      <c r="K3"/>
      <c r="L3"/>
      <c r="O3"/>
      <c r="P3"/>
      <c r="Q3"/>
    </row>
    <row r="4" spans="2:18" s="2" customFormat="1" ht="29" x14ac:dyDescent="0.35">
      <c r="B4" s="123" t="s">
        <v>1</v>
      </c>
      <c r="C4" s="124" t="s">
        <v>2</v>
      </c>
      <c r="D4" s="124" t="s">
        <v>3</v>
      </c>
      <c r="E4" s="124" t="s">
        <v>4</v>
      </c>
      <c r="F4" s="124" t="s">
        <v>5</v>
      </c>
      <c r="G4" s="124" t="s">
        <v>6</v>
      </c>
      <c r="H4" s="124" t="s">
        <v>7</v>
      </c>
      <c r="I4" s="124" t="s">
        <v>8</v>
      </c>
      <c r="J4" s="124" t="s">
        <v>9</v>
      </c>
      <c r="K4" s="124" t="s">
        <v>10</v>
      </c>
      <c r="L4" s="124" t="s">
        <v>11</v>
      </c>
      <c r="M4" s="124" t="s">
        <v>12</v>
      </c>
      <c r="N4" s="124" t="s">
        <v>13</v>
      </c>
      <c r="O4" s="124" t="s">
        <v>14</v>
      </c>
      <c r="P4" s="124" t="s">
        <v>238</v>
      </c>
      <c r="Q4" s="138" t="s">
        <v>15</v>
      </c>
      <c r="R4" s="127" t="s">
        <v>16</v>
      </c>
    </row>
    <row r="5" spans="2:18" s="4" customFormat="1" ht="79.5" customHeight="1" x14ac:dyDescent="0.35">
      <c r="B5" s="137" t="str">
        <f>"IDE"&amp;TEXT(ROW(A1),"000")</f>
        <v>IDE001</v>
      </c>
      <c r="C5" s="20" t="s">
        <v>138</v>
      </c>
      <c r="D5" s="20" t="s">
        <v>18</v>
      </c>
      <c r="E5" s="21" t="s">
        <v>139</v>
      </c>
      <c r="F5" s="21" t="s">
        <v>112</v>
      </c>
      <c r="G5" s="20" t="s">
        <v>140</v>
      </c>
      <c r="H5" s="20" t="s">
        <v>112</v>
      </c>
      <c r="I5" s="48">
        <v>46266</v>
      </c>
      <c r="J5" s="23"/>
      <c r="K5" s="48">
        <v>46357</v>
      </c>
      <c r="L5" s="23"/>
      <c r="M5" s="20" t="s">
        <v>42</v>
      </c>
      <c r="N5" s="20" t="s">
        <v>42</v>
      </c>
      <c r="O5" s="66"/>
      <c r="P5" s="70"/>
      <c r="Q5" s="66" t="s">
        <v>141</v>
      </c>
      <c r="R5" s="120"/>
    </row>
    <row r="6" spans="2:18" s="4" customFormat="1" ht="111" customHeight="1" x14ac:dyDescent="0.35">
      <c r="B6" s="137" t="str">
        <f t="shared" ref="B6:B30" si="0">"IDE"&amp;TEXT(ROW(A2),"000")</f>
        <v>IDE002</v>
      </c>
      <c r="C6" s="20" t="s">
        <v>142</v>
      </c>
      <c r="D6" s="20" t="s">
        <v>18</v>
      </c>
      <c r="E6" s="21" t="s">
        <v>143</v>
      </c>
      <c r="F6" s="21" t="s">
        <v>144</v>
      </c>
      <c r="G6" s="20" t="s">
        <v>145</v>
      </c>
      <c r="H6" s="20" t="s">
        <v>144</v>
      </c>
      <c r="I6" s="48">
        <v>46266</v>
      </c>
      <c r="J6" s="23"/>
      <c r="K6" s="48">
        <v>46357</v>
      </c>
      <c r="L6" s="23"/>
      <c r="M6" s="20" t="s">
        <v>42</v>
      </c>
      <c r="N6" s="20" t="s">
        <v>42</v>
      </c>
      <c r="O6" s="66"/>
      <c r="P6" s="70"/>
      <c r="Q6" s="66" t="s">
        <v>141</v>
      </c>
      <c r="R6" s="120"/>
    </row>
    <row r="7" spans="2:18" s="4" customFormat="1" ht="69" customHeight="1" x14ac:dyDescent="0.35">
      <c r="B7" s="137" t="str">
        <f t="shared" si="0"/>
        <v>IDE003</v>
      </c>
      <c r="C7" s="20" t="s">
        <v>146</v>
      </c>
      <c r="D7" s="20" t="s">
        <v>66</v>
      </c>
      <c r="E7" s="21" t="s">
        <v>147</v>
      </c>
      <c r="F7" s="21" t="s">
        <v>148</v>
      </c>
      <c r="G7" s="20" t="s">
        <v>145</v>
      </c>
      <c r="H7" s="20" t="s">
        <v>148</v>
      </c>
      <c r="I7" s="48">
        <v>46082</v>
      </c>
      <c r="J7" s="23"/>
      <c r="K7" s="48">
        <v>46174</v>
      </c>
      <c r="L7" s="23"/>
      <c r="M7" s="20" t="s">
        <v>42</v>
      </c>
      <c r="N7" s="20" t="s">
        <v>42</v>
      </c>
      <c r="O7" s="66"/>
      <c r="P7" s="70"/>
      <c r="Q7" s="66" t="s">
        <v>141</v>
      </c>
      <c r="R7" s="120"/>
    </row>
    <row r="8" spans="2:18" s="4" customFormat="1" ht="70.5" customHeight="1" x14ac:dyDescent="0.35">
      <c r="B8" s="137" t="str">
        <f t="shared" si="0"/>
        <v>IDE004</v>
      </c>
      <c r="C8" s="20" t="s">
        <v>149</v>
      </c>
      <c r="D8" s="20" t="s">
        <v>66</v>
      </c>
      <c r="E8" s="21" t="s">
        <v>150</v>
      </c>
      <c r="F8" s="21" t="s">
        <v>151</v>
      </c>
      <c r="G8" s="20" t="s">
        <v>152</v>
      </c>
      <c r="H8" s="20" t="s">
        <v>151</v>
      </c>
      <c r="I8" s="48">
        <v>46082</v>
      </c>
      <c r="J8" s="23"/>
      <c r="K8" s="48">
        <v>46174</v>
      </c>
      <c r="L8" s="23"/>
      <c r="M8" s="20" t="s">
        <v>42</v>
      </c>
      <c r="N8" s="20" t="s">
        <v>42</v>
      </c>
      <c r="O8" s="67"/>
      <c r="P8" s="71"/>
      <c r="Q8" s="66" t="s">
        <v>141</v>
      </c>
      <c r="R8" s="121"/>
    </row>
    <row r="9" spans="2:18" s="4" customFormat="1" ht="57" customHeight="1" x14ac:dyDescent="0.35">
      <c r="B9" s="137" t="str">
        <f t="shared" si="0"/>
        <v>IDE005</v>
      </c>
      <c r="C9" s="20" t="s">
        <v>153</v>
      </c>
      <c r="D9" s="20" t="s">
        <v>66</v>
      </c>
      <c r="E9" s="21" t="s">
        <v>154</v>
      </c>
      <c r="F9" s="21" t="s">
        <v>155</v>
      </c>
      <c r="G9" s="20" t="s">
        <v>156</v>
      </c>
      <c r="H9" s="20" t="s">
        <v>155</v>
      </c>
      <c r="I9" s="48">
        <v>46082</v>
      </c>
      <c r="J9" s="23"/>
      <c r="K9" s="48">
        <v>46174</v>
      </c>
      <c r="L9" s="23"/>
      <c r="M9" s="20" t="s">
        <v>42</v>
      </c>
      <c r="N9" s="20" t="s">
        <v>42</v>
      </c>
      <c r="O9" s="67"/>
      <c r="P9" s="71"/>
      <c r="Q9" s="66" t="s">
        <v>141</v>
      </c>
      <c r="R9" s="122"/>
    </row>
    <row r="10" spans="2:18" s="4" customFormat="1" ht="61.5" customHeight="1" x14ac:dyDescent="0.35">
      <c r="B10" s="137" t="str">
        <f t="shared" si="0"/>
        <v>IDE006</v>
      </c>
      <c r="C10" s="20" t="s">
        <v>157</v>
      </c>
      <c r="D10" s="20" t="s">
        <v>66</v>
      </c>
      <c r="E10" s="21" t="s">
        <v>158</v>
      </c>
      <c r="F10" s="21" t="s">
        <v>112</v>
      </c>
      <c r="G10" s="20" t="s">
        <v>140</v>
      </c>
      <c r="H10" s="20" t="s">
        <v>112</v>
      </c>
      <c r="I10" s="48">
        <v>46082</v>
      </c>
      <c r="J10" s="23"/>
      <c r="K10" s="48">
        <v>46174</v>
      </c>
      <c r="L10" s="23"/>
      <c r="M10" s="20" t="s">
        <v>42</v>
      </c>
      <c r="N10" s="20" t="s">
        <v>42</v>
      </c>
      <c r="O10" s="67"/>
      <c r="P10" s="71"/>
      <c r="Q10" s="66" t="s">
        <v>141</v>
      </c>
      <c r="R10" s="122"/>
    </row>
    <row r="11" spans="2:18" s="4" customFormat="1" ht="51" customHeight="1" x14ac:dyDescent="0.35">
      <c r="B11" s="137" t="str">
        <f t="shared" si="0"/>
        <v>IDE007</v>
      </c>
      <c r="C11" s="21" t="s">
        <v>159</v>
      </c>
      <c r="D11" s="20" t="s">
        <v>18</v>
      </c>
      <c r="E11" s="21" t="s">
        <v>160</v>
      </c>
      <c r="F11" s="21" t="s">
        <v>161</v>
      </c>
      <c r="G11" s="20" t="s">
        <v>162</v>
      </c>
      <c r="H11" s="20" t="s">
        <v>161</v>
      </c>
      <c r="I11" s="48">
        <v>46174</v>
      </c>
      <c r="J11" s="23"/>
      <c r="K11" s="48">
        <v>46266</v>
      </c>
      <c r="L11" s="23"/>
      <c r="M11" s="20" t="s">
        <v>42</v>
      </c>
      <c r="N11" s="20" t="s">
        <v>42</v>
      </c>
      <c r="O11" s="67"/>
      <c r="P11" s="71"/>
      <c r="Q11" s="66" t="s">
        <v>141</v>
      </c>
      <c r="R11" s="122"/>
    </row>
    <row r="12" spans="2:18" s="4" customFormat="1" ht="68.150000000000006" customHeight="1" x14ac:dyDescent="0.35">
      <c r="B12" s="137" t="str">
        <f t="shared" si="0"/>
        <v>IDE008</v>
      </c>
      <c r="C12" s="21" t="s">
        <v>163</v>
      </c>
      <c r="D12" s="20" t="s">
        <v>18</v>
      </c>
      <c r="E12" s="21" t="s">
        <v>164</v>
      </c>
      <c r="F12" s="21" t="s">
        <v>165</v>
      </c>
      <c r="G12" s="20" t="s">
        <v>145</v>
      </c>
      <c r="H12" s="20" t="s">
        <v>165</v>
      </c>
      <c r="I12" s="48">
        <v>46174</v>
      </c>
      <c r="J12" s="23"/>
      <c r="K12" s="48">
        <v>46266</v>
      </c>
      <c r="L12" s="23"/>
      <c r="M12" s="20" t="s">
        <v>23</v>
      </c>
      <c r="N12" s="20" t="s">
        <v>23</v>
      </c>
      <c r="O12" s="67"/>
      <c r="P12" s="71"/>
      <c r="Q12" s="66" t="s">
        <v>141</v>
      </c>
      <c r="R12" s="122"/>
    </row>
    <row r="13" spans="2:18" s="4" customFormat="1" ht="29" x14ac:dyDescent="0.35">
      <c r="B13" s="137" t="str">
        <f t="shared" si="0"/>
        <v>IDE009</v>
      </c>
      <c r="C13" s="21" t="s">
        <v>166</v>
      </c>
      <c r="D13" s="20" t="s">
        <v>18</v>
      </c>
      <c r="E13" s="21" t="s">
        <v>167</v>
      </c>
      <c r="F13" s="21" t="s">
        <v>165</v>
      </c>
      <c r="G13" s="20" t="s">
        <v>140</v>
      </c>
      <c r="H13" s="20" t="s">
        <v>165</v>
      </c>
      <c r="I13" s="48">
        <v>46174</v>
      </c>
      <c r="J13" s="23"/>
      <c r="K13" s="48">
        <v>46266</v>
      </c>
      <c r="L13" s="23"/>
      <c r="M13" s="20" t="s">
        <v>23</v>
      </c>
      <c r="N13" s="20" t="s">
        <v>23</v>
      </c>
      <c r="O13" s="67"/>
      <c r="P13" s="71"/>
      <c r="Q13" s="66" t="s">
        <v>141</v>
      </c>
      <c r="R13" s="121"/>
    </row>
    <row r="14" spans="2:18" s="4" customFormat="1" ht="29" x14ac:dyDescent="0.35">
      <c r="B14" s="137" t="str">
        <f t="shared" si="0"/>
        <v>IDE010</v>
      </c>
      <c r="C14" s="21" t="s">
        <v>168</v>
      </c>
      <c r="D14" s="20" t="s">
        <v>66</v>
      </c>
      <c r="E14" s="21" t="s">
        <v>169</v>
      </c>
      <c r="F14" s="21" t="s">
        <v>155</v>
      </c>
      <c r="G14" s="20" t="s">
        <v>162</v>
      </c>
      <c r="H14" s="20" t="s">
        <v>155</v>
      </c>
      <c r="I14" s="48">
        <v>46082</v>
      </c>
      <c r="J14" s="23"/>
      <c r="K14" s="48">
        <v>46174</v>
      </c>
      <c r="L14" s="23"/>
      <c r="M14" s="20" t="s">
        <v>42</v>
      </c>
      <c r="N14" s="20" t="s">
        <v>42</v>
      </c>
      <c r="O14" s="67"/>
      <c r="P14" s="71"/>
      <c r="Q14" s="66" t="s">
        <v>141</v>
      </c>
      <c r="R14" s="121"/>
    </row>
    <row r="15" spans="2:18" s="4" customFormat="1" ht="29" x14ac:dyDescent="0.35">
      <c r="B15" s="137" t="str">
        <f t="shared" si="0"/>
        <v>IDE011</v>
      </c>
      <c r="C15" s="21" t="s">
        <v>170</v>
      </c>
      <c r="D15" s="20" t="s">
        <v>66</v>
      </c>
      <c r="E15" s="21" t="s">
        <v>169</v>
      </c>
      <c r="F15" s="21" t="s">
        <v>155</v>
      </c>
      <c r="G15" s="20" t="s">
        <v>162</v>
      </c>
      <c r="H15" s="20" t="s">
        <v>155</v>
      </c>
      <c r="I15" s="48">
        <v>46082</v>
      </c>
      <c r="J15" s="23"/>
      <c r="K15" s="48">
        <v>46174</v>
      </c>
      <c r="L15" s="23"/>
      <c r="M15" s="20" t="s">
        <v>42</v>
      </c>
      <c r="N15" s="20" t="s">
        <v>42</v>
      </c>
      <c r="O15" s="67"/>
      <c r="P15" s="71"/>
      <c r="Q15" s="66" t="s">
        <v>141</v>
      </c>
      <c r="R15" s="121"/>
    </row>
    <row r="16" spans="2:18" s="4" customFormat="1" x14ac:dyDescent="0.35">
      <c r="B16" s="137" t="str">
        <f t="shared" si="0"/>
        <v>IDE012</v>
      </c>
      <c r="C16" s="21" t="s">
        <v>171</v>
      </c>
      <c r="D16" s="20" t="s">
        <v>18</v>
      </c>
      <c r="E16" s="21" t="s">
        <v>172</v>
      </c>
      <c r="F16" s="21" t="s">
        <v>173</v>
      </c>
      <c r="G16" s="20" t="s">
        <v>145</v>
      </c>
      <c r="H16" s="20" t="s">
        <v>173</v>
      </c>
      <c r="I16" s="48">
        <v>46174</v>
      </c>
      <c r="J16" s="23"/>
      <c r="K16" s="48">
        <v>46266</v>
      </c>
      <c r="L16" s="23"/>
      <c r="M16" s="20" t="s">
        <v>42</v>
      </c>
      <c r="N16" s="20" t="s">
        <v>42</v>
      </c>
      <c r="O16" s="67"/>
      <c r="P16" s="71"/>
      <c r="Q16" s="66" t="s">
        <v>141</v>
      </c>
      <c r="R16" s="121"/>
    </row>
    <row r="17" spans="2:18" s="4" customFormat="1" ht="29" x14ac:dyDescent="0.35">
      <c r="B17" s="137" t="str">
        <f t="shared" si="0"/>
        <v>IDE013</v>
      </c>
      <c r="C17" s="21" t="s">
        <v>174</v>
      </c>
      <c r="D17" s="20" t="s">
        <v>66</v>
      </c>
      <c r="E17" s="21" t="s">
        <v>175</v>
      </c>
      <c r="F17" s="21" t="s">
        <v>173</v>
      </c>
      <c r="G17" s="20" t="s">
        <v>145</v>
      </c>
      <c r="H17" s="20" t="s">
        <v>173</v>
      </c>
      <c r="I17" s="48">
        <v>46082</v>
      </c>
      <c r="J17" s="23"/>
      <c r="K17" s="48">
        <v>46174</v>
      </c>
      <c r="L17" s="23"/>
      <c r="M17" s="20" t="s">
        <v>42</v>
      </c>
      <c r="N17" s="20" t="s">
        <v>42</v>
      </c>
      <c r="O17" s="67"/>
      <c r="P17" s="71"/>
      <c r="Q17" s="66" t="s">
        <v>141</v>
      </c>
      <c r="R17" s="121"/>
    </row>
    <row r="18" spans="2:18" s="4" customFormat="1" ht="29" x14ac:dyDescent="0.35">
      <c r="B18" s="137" t="str">
        <f t="shared" si="0"/>
        <v>IDE014</v>
      </c>
      <c r="C18" s="21" t="s">
        <v>176</v>
      </c>
      <c r="D18" s="20" t="s">
        <v>39</v>
      </c>
      <c r="E18" s="21" t="s">
        <v>177</v>
      </c>
      <c r="F18" s="21" t="s">
        <v>151</v>
      </c>
      <c r="G18" s="20" t="s">
        <v>178</v>
      </c>
      <c r="H18" s="20" t="s">
        <v>151</v>
      </c>
      <c r="I18" s="48">
        <v>46266</v>
      </c>
      <c r="J18" s="23"/>
      <c r="K18" s="48">
        <v>46357</v>
      </c>
      <c r="L18" s="23"/>
      <c r="M18" s="20" t="s">
        <v>23</v>
      </c>
      <c r="N18" s="20" t="s">
        <v>23</v>
      </c>
      <c r="O18" s="67"/>
      <c r="P18" s="71"/>
      <c r="Q18" s="66" t="s">
        <v>141</v>
      </c>
      <c r="R18" s="121"/>
    </row>
    <row r="19" spans="2:18" s="4" customFormat="1" ht="29" x14ac:dyDescent="0.35">
      <c r="B19" s="137" t="str">
        <f t="shared" si="0"/>
        <v>IDE015</v>
      </c>
      <c r="C19" s="21" t="s">
        <v>179</v>
      </c>
      <c r="D19" s="20" t="s">
        <v>39</v>
      </c>
      <c r="E19" s="21" t="s">
        <v>180</v>
      </c>
      <c r="F19" s="21" t="s">
        <v>181</v>
      </c>
      <c r="G19" s="20" t="s">
        <v>145</v>
      </c>
      <c r="H19" s="20" t="s">
        <v>181</v>
      </c>
      <c r="I19" s="48">
        <v>46082</v>
      </c>
      <c r="J19" s="23"/>
      <c r="K19" s="48">
        <v>46174</v>
      </c>
      <c r="L19" s="23"/>
      <c r="M19" s="20" t="s">
        <v>42</v>
      </c>
      <c r="N19" s="20" t="s">
        <v>42</v>
      </c>
      <c r="O19" s="67"/>
      <c r="P19" s="71"/>
      <c r="Q19" s="66" t="s">
        <v>141</v>
      </c>
      <c r="R19" s="121"/>
    </row>
    <row r="20" spans="2:18" s="4" customFormat="1" x14ac:dyDescent="0.35">
      <c r="B20" s="137" t="str">
        <f t="shared" si="0"/>
        <v>IDE016</v>
      </c>
      <c r="C20" s="21" t="s">
        <v>182</v>
      </c>
      <c r="D20" s="20" t="s">
        <v>39</v>
      </c>
      <c r="E20" s="21" t="s">
        <v>183</v>
      </c>
      <c r="F20" s="21" t="s">
        <v>155</v>
      </c>
      <c r="G20" s="20" t="s">
        <v>152</v>
      </c>
      <c r="H20" s="20" t="s">
        <v>155</v>
      </c>
      <c r="I20" s="23"/>
      <c r="J20" s="23"/>
      <c r="K20" s="23"/>
      <c r="L20" s="23"/>
      <c r="M20" s="20" t="s">
        <v>23</v>
      </c>
      <c r="N20" s="20" t="s">
        <v>23</v>
      </c>
      <c r="O20" s="67"/>
      <c r="P20" s="71"/>
      <c r="Q20" s="66" t="s">
        <v>141</v>
      </c>
      <c r="R20" s="121"/>
    </row>
    <row r="21" spans="2:18" s="4" customFormat="1" ht="29" x14ac:dyDescent="0.35">
      <c r="B21" s="137" t="str">
        <f t="shared" si="0"/>
        <v>IDE017</v>
      </c>
      <c r="C21" s="21" t="s">
        <v>184</v>
      </c>
      <c r="D21" s="20" t="s">
        <v>66</v>
      </c>
      <c r="E21" s="21" t="s">
        <v>185</v>
      </c>
      <c r="F21" s="21" t="s">
        <v>155</v>
      </c>
      <c r="G21" s="20" t="s">
        <v>140</v>
      </c>
      <c r="H21" s="20" t="s">
        <v>155</v>
      </c>
      <c r="I21" s="48">
        <v>46174</v>
      </c>
      <c r="J21" s="23"/>
      <c r="K21" s="48">
        <v>46266</v>
      </c>
      <c r="L21" s="23"/>
      <c r="M21" s="28" t="s">
        <v>23</v>
      </c>
      <c r="N21" s="28" t="s">
        <v>23</v>
      </c>
      <c r="O21" s="68"/>
      <c r="P21" s="75"/>
      <c r="Q21" s="66" t="s">
        <v>141</v>
      </c>
      <c r="R21" s="136"/>
    </row>
    <row r="22" spans="2:18" s="4" customFormat="1" ht="29" x14ac:dyDescent="0.35">
      <c r="B22" s="137" t="str">
        <f t="shared" si="0"/>
        <v>IDE018</v>
      </c>
      <c r="C22" s="21" t="s">
        <v>186</v>
      </c>
      <c r="D22" s="20" t="s">
        <v>39</v>
      </c>
      <c r="E22" s="21" t="s">
        <v>187</v>
      </c>
      <c r="F22" s="21" t="s">
        <v>188</v>
      </c>
      <c r="G22" s="20" t="s">
        <v>140</v>
      </c>
      <c r="H22" s="20" t="s">
        <v>188</v>
      </c>
      <c r="I22" s="23"/>
      <c r="J22" s="23"/>
      <c r="K22" s="23"/>
      <c r="L22" s="49"/>
      <c r="M22" s="39" t="s">
        <v>42</v>
      </c>
      <c r="N22" s="39" t="s">
        <v>42</v>
      </c>
      <c r="O22" s="67"/>
      <c r="P22" s="71"/>
      <c r="Q22" s="66" t="s">
        <v>141</v>
      </c>
      <c r="R22" s="121"/>
    </row>
    <row r="23" spans="2:18" s="4" customFormat="1" x14ac:dyDescent="0.35">
      <c r="B23" s="137" t="str">
        <f t="shared" si="0"/>
        <v>IDE019</v>
      </c>
      <c r="C23" s="21" t="s">
        <v>189</v>
      </c>
      <c r="D23" s="20" t="s">
        <v>66</v>
      </c>
      <c r="E23" s="21"/>
      <c r="F23" s="21" t="s">
        <v>112</v>
      </c>
      <c r="G23" s="20" t="s">
        <v>162</v>
      </c>
      <c r="H23" s="20" t="s">
        <v>112</v>
      </c>
      <c r="I23" s="23"/>
      <c r="J23" s="23"/>
      <c r="K23" s="23"/>
      <c r="L23" s="49"/>
      <c r="M23" s="39" t="s">
        <v>42</v>
      </c>
      <c r="N23" s="39" t="s">
        <v>42</v>
      </c>
      <c r="O23" s="67"/>
      <c r="P23" s="71"/>
      <c r="Q23" s="66" t="s">
        <v>141</v>
      </c>
      <c r="R23" s="121"/>
    </row>
    <row r="24" spans="2:18" s="4" customFormat="1" ht="29" x14ac:dyDescent="0.35">
      <c r="B24" s="137" t="str">
        <f t="shared" si="0"/>
        <v>IDE020</v>
      </c>
      <c r="C24" s="21" t="s">
        <v>190</v>
      </c>
      <c r="D24" s="20" t="s">
        <v>39</v>
      </c>
      <c r="E24" s="21" t="s">
        <v>191</v>
      </c>
      <c r="F24" s="21" t="s">
        <v>151</v>
      </c>
      <c r="G24" s="20" t="s">
        <v>178</v>
      </c>
      <c r="H24" s="20" t="s">
        <v>151</v>
      </c>
      <c r="I24" s="48">
        <v>46174</v>
      </c>
      <c r="J24" s="23"/>
      <c r="K24" s="48">
        <v>46266</v>
      </c>
      <c r="L24" s="49"/>
      <c r="M24" s="39" t="s">
        <v>23</v>
      </c>
      <c r="N24" s="39" t="s">
        <v>23</v>
      </c>
      <c r="O24" s="67"/>
      <c r="P24" s="71"/>
      <c r="Q24" s="66" t="s">
        <v>141</v>
      </c>
      <c r="R24" s="121"/>
    </row>
    <row r="25" spans="2:18" s="4" customFormat="1" ht="29" x14ac:dyDescent="0.35">
      <c r="B25" s="137" t="str">
        <f t="shared" si="0"/>
        <v>IDE021</v>
      </c>
      <c r="C25" s="21" t="s">
        <v>192</v>
      </c>
      <c r="D25" s="20" t="s">
        <v>39</v>
      </c>
      <c r="E25" s="21" t="s">
        <v>193</v>
      </c>
      <c r="F25" s="21" t="s">
        <v>173</v>
      </c>
      <c r="G25" s="20" t="s">
        <v>178</v>
      </c>
      <c r="H25" s="20" t="s">
        <v>173</v>
      </c>
      <c r="I25" s="48">
        <v>46266</v>
      </c>
      <c r="J25" s="23"/>
      <c r="K25" s="48">
        <v>46357</v>
      </c>
      <c r="L25" s="49"/>
      <c r="M25" s="39" t="s">
        <v>42</v>
      </c>
      <c r="N25" s="39" t="s">
        <v>42</v>
      </c>
      <c r="O25" s="67"/>
      <c r="P25" s="71"/>
      <c r="Q25" s="66" t="s">
        <v>141</v>
      </c>
      <c r="R25" s="121"/>
    </row>
    <row r="26" spans="2:18" s="4" customFormat="1" x14ac:dyDescent="0.35">
      <c r="B26" s="137" t="str">
        <f t="shared" si="0"/>
        <v>IDE022</v>
      </c>
      <c r="C26" s="21" t="s">
        <v>194</v>
      </c>
      <c r="D26" s="20" t="s">
        <v>39</v>
      </c>
      <c r="E26" s="21" t="s">
        <v>169</v>
      </c>
      <c r="F26" s="21" t="s">
        <v>151</v>
      </c>
      <c r="G26" s="20" t="s">
        <v>162</v>
      </c>
      <c r="H26" s="20" t="s">
        <v>151</v>
      </c>
      <c r="I26" s="48">
        <v>46174</v>
      </c>
      <c r="J26" s="23"/>
      <c r="K26" s="48">
        <v>46266</v>
      </c>
      <c r="L26" s="49"/>
      <c r="M26" s="39" t="s">
        <v>42</v>
      </c>
      <c r="N26" s="39" t="s">
        <v>42</v>
      </c>
      <c r="O26" s="67"/>
      <c r="P26" s="71"/>
      <c r="Q26" s="66" t="s">
        <v>141</v>
      </c>
      <c r="R26" s="121"/>
    </row>
    <row r="27" spans="2:18" s="4" customFormat="1" x14ac:dyDescent="0.35">
      <c r="B27" s="137" t="str">
        <f t="shared" si="0"/>
        <v>IDE023</v>
      </c>
      <c r="C27" s="21" t="s">
        <v>195</v>
      </c>
      <c r="D27" s="20" t="s">
        <v>39</v>
      </c>
      <c r="E27" s="21" t="s">
        <v>169</v>
      </c>
      <c r="F27" s="21" t="s">
        <v>196</v>
      </c>
      <c r="G27" s="20" t="s">
        <v>162</v>
      </c>
      <c r="H27" s="20" t="s">
        <v>196</v>
      </c>
      <c r="I27" s="23"/>
      <c r="J27" s="23"/>
      <c r="K27" s="23"/>
      <c r="L27" s="49"/>
      <c r="M27" s="39" t="s">
        <v>42</v>
      </c>
      <c r="N27" s="39" t="s">
        <v>42</v>
      </c>
      <c r="O27" s="67"/>
      <c r="P27" s="71"/>
      <c r="Q27" s="66" t="s">
        <v>141</v>
      </c>
      <c r="R27" s="121"/>
    </row>
    <row r="28" spans="2:18" s="4" customFormat="1" ht="29" x14ac:dyDescent="0.35">
      <c r="B28" s="137" t="str">
        <f t="shared" si="0"/>
        <v>IDE024</v>
      </c>
      <c r="C28" s="21" t="s">
        <v>197</v>
      </c>
      <c r="D28" s="20" t="s">
        <v>39</v>
      </c>
      <c r="E28" s="21" t="s">
        <v>198</v>
      </c>
      <c r="F28" s="21" t="s">
        <v>199</v>
      </c>
      <c r="G28" s="20" t="s">
        <v>145</v>
      </c>
      <c r="H28" s="20" t="s">
        <v>199</v>
      </c>
      <c r="I28" s="48">
        <v>46266</v>
      </c>
      <c r="J28" s="23"/>
      <c r="K28" s="48">
        <v>46357</v>
      </c>
      <c r="L28" s="49"/>
      <c r="M28" s="39" t="s">
        <v>23</v>
      </c>
      <c r="N28" s="39" t="s">
        <v>23</v>
      </c>
      <c r="O28" s="67"/>
      <c r="P28" s="71"/>
      <c r="Q28" s="66" t="s">
        <v>141</v>
      </c>
      <c r="R28" s="121"/>
    </row>
    <row r="29" spans="2:18" s="4" customFormat="1" ht="29" x14ac:dyDescent="0.35">
      <c r="B29" s="137" t="str">
        <f t="shared" si="0"/>
        <v>IDE025</v>
      </c>
      <c r="C29" s="21" t="s">
        <v>200</v>
      </c>
      <c r="D29" s="20" t="s">
        <v>39</v>
      </c>
      <c r="E29" s="21" t="s">
        <v>198</v>
      </c>
      <c r="F29" s="21" t="s">
        <v>199</v>
      </c>
      <c r="G29" s="20" t="s">
        <v>140</v>
      </c>
      <c r="H29" s="20" t="s">
        <v>199</v>
      </c>
      <c r="I29" s="48">
        <v>46266</v>
      </c>
      <c r="J29" s="23"/>
      <c r="K29" s="48">
        <v>46357</v>
      </c>
      <c r="L29" s="49"/>
      <c r="M29" s="39" t="s">
        <v>23</v>
      </c>
      <c r="N29" s="39" t="s">
        <v>23</v>
      </c>
      <c r="O29" s="67"/>
      <c r="P29" s="71"/>
      <c r="Q29" s="66" t="s">
        <v>141</v>
      </c>
      <c r="R29" s="121"/>
    </row>
    <row r="30" spans="2:18" s="4" customFormat="1" ht="29" x14ac:dyDescent="0.35">
      <c r="B30" s="137" t="str">
        <f t="shared" si="0"/>
        <v>IDE026</v>
      </c>
      <c r="C30" s="38" t="s">
        <v>201</v>
      </c>
      <c r="D30" s="20" t="s">
        <v>39</v>
      </c>
      <c r="E30" s="38" t="s">
        <v>202</v>
      </c>
      <c r="F30" s="38" t="s">
        <v>161</v>
      </c>
      <c r="G30" s="37" t="s">
        <v>162</v>
      </c>
      <c r="H30" s="37" t="s">
        <v>161</v>
      </c>
      <c r="I30" s="48">
        <v>46266</v>
      </c>
      <c r="J30" s="50"/>
      <c r="K30" s="48">
        <v>46357</v>
      </c>
      <c r="L30" s="51"/>
      <c r="M30" s="39" t="s">
        <v>42</v>
      </c>
      <c r="N30" s="39" t="s">
        <v>42</v>
      </c>
      <c r="O30" s="67"/>
      <c r="P30" s="71"/>
      <c r="Q30" s="66" t="s">
        <v>141</v>
      </c>
      <c r="R30" s="121"/>
    </row>
    <row r="31" spans="2:18" s="4" customFormat="1" x14ac:dyDescent="0.35">
      <c r="B31" s="5"/>
      <c r="E31" s="2"/>
      <c r="I31" s="5"/>
      <c r="J31" s="5"/>
      <c r="K31" s="5"/>
      <c r="L31" s="5"/>
      <c r="O31" s="64"/>
      <c r="P31" s="72"/>
      <c r="Q31" s="64"/>
    </row>
    <row r="32" spans="2:18" s="4" customFormat="1" x14ac:dyDescent="0.35">
      <c r="B32" s="5"/>
      <c r="E32" s="2"/>
      <c r="I32" s="5"/>
      <c r="J32" s="5"/>
      <c r="K32" s="5"/>
      <c r="L32" s="5"/>
      <c r="O32" s="64"/>
      <c r="P32" s="72"/>
      <c r="Q32" s="64"/>
    </row>
    <row r="33" spans="2:17" s="4" customFormat="1" x14ac:dyDescent="0.35">
      <c r="B33" s="5"/>
      <c r="E33" s="2"/>
      <c r="I33" s="5"/>
      <c r="J33" s="5"/>
      <c r="K33" s="5"/>
      <c r="L33" s="5"/>
      <c r="O33" s="64"/>
      <c r="P33" s="72"/>
      <c r="Q33" s="64"/>
    </row>
    <row r="34" spans="2:17" s="4" customFormat="1" x14ac:dyDescent="0.35">
      <c r="B34" s="5"/>
      <c r="E34" s="2"/>
      <c r="I34" s="5"/>
      <c r="J34" s="5"/>
      <c r="K34" s="5"/>
      <c r="L34" s="5"/>
      <c r="O34" s="64"/>
      <c r="P34" s="72"/>
      <c r="Q34" s="64"/>
    </row>
    <row r="35" spans="2:17" s="4" customFormat="1" x14ac:dyDescent="0.35">
      <c r="B35" s="5"/>
      <c r="E35" s="2"/>
      <c r="I35" s="5"/>
      <c r="J35" s="5"/>
      <c r="K35" s="5"/>
      <c r="L35" s="5"/>
      <c r="O35" s="64"/>
      <c r="P35" s="72"/>
      <c r="Q35" s="64"/>
    </row>
  </sheetData>
  <pageMargins left="0.7" right="0.7" top="0.75" bottom="0.75" header="0.3" footer="0.3"/>
  <pageSetup paperSize="9" orientation="portrait"/>
  <legacyDrawing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D8A6A-1136-4C16-9DB2-91A0B28146CF}">
  <sheetPr>
    <tabColor theme="4" tint="0.39997558519241921"/>
  </sheetPr>
  <dimension ref="B2:M30"/>
  <sheetViews>
    <sheetView topLeftCell="I1" workbookViewId="0">
      <selection activeCell="N15" sqref="N15"/>
    </sheetView>
  </sheetViews>
  <sheetFormatPr defaultRowHeight="14.5" x14ac:dyDescent="0.35"/>
  <cols>
    <col min="1" max="1" width="4.1796875" customWidth="1"/>
    <col min="2" max="2" width="5.81640625" customWidth="1"/>
    <col min="3" max="3" width="48.26953125" customWidth="1"/>
    <col min="4" max="4" width="20.54296875" customWidth="1"/>
    <col min="5" max="5" width="44.26953125" customWidth="1"/>
    <col min="6" max="6" width="13.81640625" bestFit="1" customWidth="1"/>
    <col min="7" max="7" width="29" customWidth="1"/>
    <col min="8" max="8" width="30.7265625" hidden="1" customWidth="1"/>
    <col min="9" max="9" width="22" customWidth="1"/>
    <col min="10" max="10" width="22.26953125" customWidth="1"/>
    <col min="11" max="11" width="25.81640625" customWidth="1"/>
    <col min="12" max="12" width="29" customWidth="1"/>
    <col min="13" max="13" width="18.54296875" customWidth="1"/>
  </cols>
  <sheetData>
    <row r="2" spans="2:13" ht="23.5" x14ac:dyDescent="0.55000000000000004">
      <c r="B2" s="13" t="s">
        <v>203</v>
      </c>
    </row>
    <row r="4" spans="2:13" s="4" customFormat="1" ht="29" x14ac:dyDescent="0.35">
      <c r="B4" s="24" t="s">
        <v>122</v>
      </c>
      <c r="C4" s="24" t="s">
        <v>2</v>
      </c>
      <c r="D4" s="24" t="s">
        <v>123</v>
      </c>
      <c r="E4" s="24" t="s">
        <v>4</v>
      </c>
      <c r="F4" s="24" t="s">
        <v>124</v>
      </c>
      <c r="G4" s="24" t="s">
        <v>7</v>
      </c>
      <c r="H4" s="24" t="s">
        <v>125</v>
      </c>
      <c r="I4" s="35" t="s">
        <v>12</v>
      </c>
      <c r="J4" s="35" t="s">
        <v>13</v>
      </c>
      <c r="K4" s="24" t="s">
        <v>126</v>
      </c>
      <c r="L4" s="25" t="s">
        <v>127</v>
      </c>
      <c r="M4" s="30" t="s">
        <v>14</v>
      </c>
    </row>
    <row r="5" spans="2:13" ht="30" customHeight="1" x14ac:dyDescent="0.35">
      <c r="B5" s="23">
        <f>ROW() - ROW(Table14[[#Headers],[No]])</f>
        <v>1</v>
      </c>
      <c r="C5" s="20" t="s">
        <v>138</v>
      </c>
      <c r="D5" s="20" t="s">
        <v>130</v>
      </c>
      <c r="E5" s="20" t="s">
        <v>139</v>
      </c>
      <c r="F5" s="20" t="s">
        <v>140</v>
      </c>
      <c r="G5" s="20" t="s">
        <v>112</v>
      </c>
      <c r="H5" s="20" t="s">
        <v>204</v>
      </c>
      <c r="I5" s="20" t="s">
        <v>42</v>
      </c>
      <c r="J5" s="20"/>
      <c r="K5" s="20" t="s">
        <v>135</v>
      </c>
      <c r="L5" s="20"/>
      <c r="M5" s="29"/>
    </row>
    <row r="6" spans="2:13" ht="30" customHeight="1" x14ac:dyDescent="0.35">
      <c r="B6" s="23">
        <f>ROW() - ROW(Table14[[#Headers],[No]])</f>
        <v>2</v>
      </c>
      <c r="C6" s="20" t="s">
        <v>142</v>
      </c>
      <c r="D6" s="20" t="s">
        <v>130</v>
      </c>
      <c r="E6" s="20" t="s">
        <v>143</v>
      </c>
      <c r="F6" s="20" t="s">
        <v>145</v>
      </c>
      <c r="G6" s="20" t="s">
        <v>144</v>
      </c>
      <c r="H6" s="20" t="s">
        <v>205</v>
      </c>
      <c r="I6" s="20" t="s">
        <v>42</v>
      </c>
      <c r="J6" s="20"/>
      <c r="K6" s="20" t="s">
        <v>135</v>
      </c>
      <c r="L6" s="20"/>
      <c r="M6" s="20"/>
    </row>
    <row r="7" spans="2:13" ht="30" customHeight="1" x14ac:dyDescent="0.35">
      <c r="B7" s="23">
        <f>ROW() - ROW(Table14[[#Headers],[No]])</f>
        <v>3</v>
      </c>
      <c r="C7" s="20" t="s">
        <v>146</v>
      </c>
      <c r="D7" s="20" t="s">
        <v>66</v>
      </c>
      <c r="E7" s="20" t="s">
        <v>147</v>
      </c>
      <c r="F7" s="20" t="s">
        <v>145</v>
      </c>
      <c r="G7" s="20" t="s">
        <v>148</v>
      </c>
      <c r="H7" s="20" t="s">
        <v>205</v>
      </c>
      <c r="I7" s="20" t="s">
        <v>42</v>
      </c>
      <c r="J7" s="20"/>
      <c r="K7" s="20" t="s">
        <v>132</v>
      </c>
      <c r="L7" s="20"/>
      <c r="M7" s="20"/>
    </row>
    <row r="8" spans="2:13" ht="30" customHeight="1" x14ac:dyDescent="0.35">
      <c r="B8" s="23">
        <f>ROW() - ROW(Table14[[#Headers],[No]])</f>
        <v>4</v>
      </c>
      <c r="C8" s="20" t="s">
        <v>149</v>
      </c>
      <c r="D8" s="20" t="s">
        <v>66</v>
      </c>
      <c r="E8" s="20" t="s">
        <v>150</v>
      </c>
      <c r="F8" s="20" t="s">
        <v>152</v>
      </c>
      <c r="G8" s="20" t="s">
        <v>151</v>
      </c>
      <c r="H8" s="20" t="s">
        <v>205</v>
      </c>
      <c r="I8" s="20" t="s">
        <v>42</v>
      </c>
      <c r="J8" s="20"/>
      <c r="K8" s="20" t="s">
        <v>132</v>
      </c>
      <c r="L8" s="20"/>
      <c r="M8" s="20"/>
    </row>
    <row r="9" spans="2:13" ht="30" customHeight="1" x14ac:dyDescent="0.35">
      <c r="B9" s="23">
        <f>ROW() - ROW(Table14[[#Headers],[No]])</f>
        <v>5</v>
      </c>
      <c r="C9" s="20" t="s">
        <v>153</v>
      </c>
      <c r="D9" s="20" t="s">
        <v>66</v>
      </c>
      <c r="E9" s="20" t="s">
        <v>154</v>
      </c>
      <c r="F9" s="20" t="s">
        <v>206</v>
      </c>
      <c r="G9" s="20" t="s">
        <v>155</v>
      </c>
      <c r="H9" s="20" t="s">
        <v>205</v>
      </c>
      <c r="I9" s="20" t="s">
        <v>42</v>
      </c>
      <c r="J9" s="20"/>
      <c r="K9" s="20" t="s">
        <v>132</v>
      </c>
      <c r="L9" s="20"/>
      <c r="M9" s="20"/>
    </row>
    <row r="10" spans="2:13" ht="30" customHeight="1" x14ac:dyDescent="0.35">
      <c r="B10" s="23">
        <f>ROW() - ROW(Table14[[#Headers],[No]])</f>
        <v>6</v>
      </c>
      <c r="C10" s="20" t="s">
        <v>157</v>
      </c>
      <c r="D10" s="20" t="s">
        <v>66</v>
      </c>
      <c r="E10" s="20" t="s">
        <v>158</v>
      </c>
      <c r="F10" s="20" t="s">
        <v>140</v>
      </c>
      <c r="G10" s="20" t="s">
        <v>112</v>
      </c>
      <c r="H10" s="20" t="s">
        <v>204</v>
      </c>
      <c r="I10" s="20" t="s">
        <v>42</v>
      </c>
      <c r="J10" s="20"/>
      <c r="K10" s="20" t="s">
        <v>132</v>
      </c>
      <c r="L10" s="20"/>
      <c r="M10" s="20"/>
    </row>
    <row r="11" spans="2:13" ht="30" customHeight="1" x14ac:dyDescent="0.35">
      <c r="B11" s="23">
        <f>ROW() - ROW(Table14[[#Headers],[No]])</f>
        <v>7</v>
      </c>
      <c r="C11" s="21" t="s">
        <v>159</v>
      </c>
      <c r="D11" s="20" t="s">
        <v>130</v>
      </c>
      <c r="E11" s="21" t="s">
        <v>160</v>
      </c>
      <c r="F11" s="20" t="s">
        <v>162</v>
      </c>
      <c r="G11" s="20" t="s">
        <v>161</v>
      </c>
      <c r="H11" s="20"/>
      <c r="I11" s="20" t="s">
        <v>42</v>
      </c>
      <c r="J11" s="20"/>
      <c r="K11" s="20" t="s">
        <v>133</v>
      </c>
      <c r="L11" s="20"/>
      <c r="M11" s="20"/>
    </row>
    <row r="12" spans="2:13" ht="30" customHeight="1" x14ac:dyDescent="0.35">
      <c r="B12" s="23">
        <f>ROW() - ROW(Table14[[#Headers],[No]])</f>
        <v>8</v>
      </c>
      <c r="C12" s="21" t="s">
        <v>163</v>
      </c>
      <c r="D12" s="20" t="s">
        <v>130</v>
      </c>
      <c r="E12" s="21" t="s">
        <v>164</v>
      </c>
      <c r="F12" s="20" t="s">
        <v>207</v>
      </c>
      <c r="G12" s="20" t="s">
        <v>165</v>
      </c>
      <c r="H12" s="20"/>
      <c r="I12" s="20" t="s">
        <v>23</v>
      </c>
      <c r="J12" s="20"/>
      <c r="K12" s="20" t="s">
        <v>133</v>
      </c>
      <c r="L12" s="20"/>
      <c r="M12" s="20"/>
    </row>
    <row r="13" spans="2:13" ht="30" customHeight="1" x14ac:dyDescent="0.35">
      <c r="B13" s="23">
        <f>ROW() - ROW(Table14[[#Headers],[No]])</f>
        <v>9</v>
      </c>
      <c r="C13" s="21" t="s">
        <v>166</v>
      </c>
      <c r="D13" s="20" t="s">
        <v>130</v>
      </c>
      <c r="E13" s="21" t="s">
        <v>167</v>
      </c>
      <c r="F13" s="20" t="s">
        <v>208</v>
      </c>
      <c r="G13" s="20" t="s">
        <v>165</v>
      </c>
      <c r="H13" s="20"/>
      <c r="I13" s="20" t="s">
        <v>23</v>
      </c>
      <c r="J13" s="20"/>
      <c r="K13" s="20" t="s">
        <v>133</v>
      </c>
      <c r="L13" s="20"/>
      <c r="M13" s="20"/>
    </row>
    <row r="14" spans="2:13" ht="30" customHeight="1" x14ac:dyDescent="0.35">
      <c r="B14" s="23">
        <f>ROW() - ROW(Table14[[#Headers],[No]])</f>
        <v>10</v>
      </c>
      <c r="C14" s="21" t="s">
        <v>168</v>
      </c>
      <c r="D14" s="20" t="s">
        <v>66</v>
      </c>
      <c r="E14" s="21" t="s">
        <v>169</v>
      </c>
      <c r="F14" s="20" t="s">
        <v>162</v>
      </c>
      <c r="G14" s="20" t="s">
        <v>155</v>
      </c>
      <c r="H14" s="20"/>
      <c r="I14" s="20" t="s">
        <v>42</v>
      </c>
      <c r="J14" s="20"/>
      <c r="K14" s="20" t="s">
        <v>132</v>
      </c>
      <c r="L14" s="20"/>
      <c r="M14" s="20"/>
    </row>
    <row r="15" spans="2:13" ht="30" customHeight="1" x14ac:dyDescent="0.35">
      <c r="B15" s="23">
        <f>ROW() - ROW(Table14[[#Headers],[No]])</f>
        <v>11</v>
      </c>
      <c r="C15" s="21" t="s">
        <v>170</v>
      </c>
      <c r="D15" s="20" t="s">
        <v>66</v>
      </c>
      <c r="E15" s="21" t="s">
        <v>169</v>
      </c>
      <c r="F15" s="20" t="s">
        <v>162</v>
      </c>
      <c r="G15" s="20" t="s">
        <v>155</v>
      </c>
      <c r="H15" s="20"/>
      <c r="I15" s="20" t="s">
        <v>42</v>
      </c>
      <c r="J15" s="20"/>
      <c r="K15" s="20" t="s">
        <v>132</v>
      </c>
      <c r="L15" s="20"/>
      <c r="M15" s="20"/>
    </row>
    <row r="16" spans="2:13" ht="30" customHeight="1" x14ac:dyDescent="0.35">
      <c r="B16" s="23">
        <f>ROW() - ROW(Table14[[#Headers],[No]])</f>
        <v>12</v>
      </c>
      <c r="C16" s="21" t="s">
        <v>171</v>
      </c>
      <c r="D16" s="20" t="s">
        <v>130</v>
      </c>
      <c r="E16" s="21" t="s">
        <v>172</v>
      </c>
      <c r="F16" s="20" t="s">
        <v>207</v>
      </c>
      <c r="G16" s="20" t="s">
        <v>173</v>
      </c>
      <c r="H16" s="20"/>
      <c r="I16" s="20" t="s">
        <v>42</v>
      </c>
      <c r="J16" s="20"/>
      <c r="K16" s="20" t="s">
        <v>133</v>
      </c>
      <c r="L16" s="20"/>
      <c r="M16" s="20"/>
    </row>
    <row r="17" spans="2:13" ht="30" customHeight="1" x14ac:dyDescent="0.35">
      <c r="B17" s="23">
        <f>ROW() - ROW(Table14[[#Headers],[No]])</f>
        <v>13</v>
      </c>
      <c r="C17" s="21" t="s">
        <v>174</v>
      </c>
      <c r="D17" s="20" t="s">
        <v>66</v>
      </c>
      <c r="E17" s="21" t="s">
        <v>175</v>
      </c>
      <c r="F17" s="20" t="s">
        <v>207</v>
      </c>
      <c r="G17" s="20" t="s">
        <v>173</v>
      </c>
      <c r="H17" s="20"/>
      <c r="I17" s="20" t="s">
        <v>42</v>
      </c>
      <c r="J17" s="20"/>
      <c r="K17" s="20" t="s">
        <v>132</v>
      </c>
      <c r="L17" s="20"/>
      <c r="M17" s="20"/>
    </row>
    <row r="18" spans="2:13" ht="30" customHeight="1" x14ac:dyDescent="0.35">
      <c r="B18" s="23">
        <f>ROW() - ROW(Table14[[#Headers],[No]])</f>
        <v>14</v>
      </c>
      <c r="C18" s="21" t="s">
        <v>176</v>
      </c>
      <c r="D18" s="20" t="s">
        <v>130</v>
      </c>
      <c r="E18" s="21" t="s">
        <v>177</v>
      </c>
      <c r="F18" s="20" t="s">
        <v>209</v>
      </c>
      <c r="G18" s="20" t="s">
        <v>151</v>
      </c>
      <c r="H18" s="20"/>
      <c r="I18" s="20" t="s">
        <v>23</v>
      </c>
      <c r="J18" s="20"/>
      <c r="K18" s="20" t="s">
        <v>135</v>
      </c>
      <c r="L18" s="20"/>
      <c r="M18" s="20"/>
    </row>
    <row r="19" spans="2:13" ht="30" customHeight="1" x14ac:dyDescent="0.35">
      <c r="B19" s="23">
        <f>ROW() - ROW(Table14[[#Headers],[No]])</f>
        <v>15</v>
      </c>
      <c r="C19" s="21" t="s">
        <v>179</v>
      </c>
      <c r="D19" s="20" t="s">
        <v>130</v>
      </c>
      <c r="E19" s="21" t="s">
        <v>180</v>
      </c>
      <c r="F19" s="20" t="s">
        <v>207</v>
      </c>
      <c r="G19" s="20" t="s">
        <v>181</v>
      </c>
      <c r="H19" s="20"/>
      <c r="I19" s="20" t="s">
        <v>42</v>
      </c>
      <c r="J19" s="20"/>
      <c r="K19" s="20" t="s">
        <v>132</v>
      </c>
      <c r="L19" s="20"/>
      <c r="M19" s="20"/>
    </row>
    <row r="20" spans="2:13" ht="30" customHeight="1" x14ac:dyDescent="0.35">
      <c r="B20" s="23">
        <f>ROW() - ROW(Table14[[#Headers],[No]])</f>
        <v>16</v>
      </c>
      <c r="C20" s="21" t="s">
        <v>182</v>
      </c>
      <c r="D20" s="20" t="s">
        <v>130</v>
      </c>
      <c r="E20" s="21" t="s">
        <v>183</v>
      </c>
      <c r="F20" s="20" t="s">
        <v>210</v>
      </c>
      <c r="G20" s="20" t="s">
        <v>155</v>
      </c>
      <c r="H20" s="20"/>
      <c r="I20" s="20" t="s">
        <v>23</v>
      </c>
      <c r="J20" s="20"/>
      <c r="K20" s="20"/>
      <c r="L20" s="20"/>
      <c r="M20" s="20"/>
    </row>
    <row r="21" spans="2:13" ht="30" customHeight="1" x14ac:dyDescent="0.35">
      <c r="B21" s="23">
        <f>ROW() - ROW(Table14[[#Headers],[No]])</f>
        <v>17</v>
      </c>
      <c r="C21" s="21" t="s">
        <v>184</v>
      </c>
      <c r="D21" s="20" t="s">
        <v>66</v>
      </c>
      <c r="E21" s="21" t="s">
        <v>185</v>
      </c>
      <c r="F21" s="20" t="s">
        <v>208</v>
      </c>
      <c r="G21" s="20" t="s">
        <v>155</v>
      </c>
      <c r="H21" s="20"/>
      <c r="I21" s="20" t="s">
        <v>23</v>
      </c>
      <c r="J21" s="20"/>
      <c r="K21" s="20" t="s">
        <v>133</v>
      </c>
      <c r="L21" s="20"/>
      <c r="M21" s="20"/>
    </row>
    <row r="22" spans="2:13" ht="30" customHeight="1" x14ac:dyDescent="0.35">
      <c r="B22" s="23">
        <f>ROW() - ROW(Table14[[#Headers],[No]])</f>
        <v>18</v>
      </c>
      <c r="C22" s="21" t="s">
        <v>186</v>
      </c>
      <c r="D22" s="20" t="s">
        <v>130</v>
      </c>
      <c r="E22" s="21" t="s">
        <v>187</v>
      </c>
      <c r="F22" s="20" t="s">
        <v>208</v>
      </c>
      <c r="G22" s="20" t="s">
        <v>188</v>
      </c>
      <c r="H22" s="20"/>
      <c r="I22" s="20" t="s">
        <v>42</v>
      </c>
      <c r="J22" s="20"/>
      <c r="K22" s="20"/>
      <c r="L22" s="20"/>
      <c r="M22" s="20"/>
    </row>
    <row r="23" spans="2:13" ht="30" customHeight="1" x14ac:dyDescent="0.35">
      <c r="B23" s="23">
        <f>ROW() - ROW(Table14[[#Headers],[No]])</f>
        <v>19</v>
      </c>
      <c r="C23" s="21" t="s">
        <v>189</v>
      </c>
      <c r="D23" s="20" t="s">
        <v>66</v>
      </c>
      <c r="E23" s="21"/>
      <c r="F23" s="20" t="s">
        <v>162</v>
      </c>
      <c r="G23" s="20" t="s">
        <v>112</v>
      </c>
      <c r="H23" s="20"/>
      <c r="I23" s="20" t="s">
        <v>42</v>
      </c>
      <c r="J23" s="20"/>
      <c r="K23" s="20" t="s">
        <v>133</v>
      </c>
      <c r="L23" s="20"/>
      <c r="M23" s="20"/>
    </row>
    <row r="24" spans="2:13" ht="30" customHeight="1" x14ac:dyDescent="0.35">
      <c r="B24" s="23">
        <f>ROW() - ROW(Table14[[#Headers],[No]])</f>
        <v>20</v>
      </c>
      <c r="C24" s="21" t="s">
        <v>190</v>
      </c>
      <c r="D24" s="20" t="s">
        <v>130</v>
      </c>
      <c r="E24" s="21" t="s">
        <v>191</v>
      </c>
      <c r="F24" s="20" t="s">
        <v>209</v>
      </c>
      <c r="G24" s="20" t="s">
        <v>151</v>
      </c>
      <c r="H24" s="20"/>
      <c r="I24" s="20" t="s">
        <v>23</v>
      </c>
      <c r="J24" s="20"/>
      <c r="K24" s="20" t="s">
        <v>133</v>
      </c>
      <c r="L24" s="20"/>
      <c r="M24" s="20"/>
    </row>
    <row r="25" spans="2:13" ht="30" customHeight="1" x14ac:dyDescent="0.35">
      <c r="B25" s="23">
        <f>ROW() - ROW(Table14[[#Headers],[No]])</f>
        <v>21</v>
      </c>
      <c r="C25" s="21" t="s">
        <v>192</v>
      </c>
      <c r="D25" s="20" t="s">
        <v>130</v>
      </c>
      <c r="E25" s="21" t="s">
        <v>193</v>
      </c>
      <c r="F25" s="20" t="s">
        <v>209</v>
      </c>
      <c r="G25" s="20" t="s">
        <v>173</v>
      </c>
      <c r="H25" s="20"/>
      <c r="I25" s="20" t="s">
        <v>42</v>
      </c>
      <c r="J25" s="20"/>
      <c r="K25" s="20" t="s">
        <v>135</v>
      </c>
      <c r="L25" s="20"/>
      <c r="M25" s="20"/>
    </row>
    <row r="26" spans="2:13" ht="30" customHeight="1" x14ac:dyDescent="0.35">
      <c r="B26" s="23">
        <f>ROW() - ROW(Table14[[#Headers],[No]])</f>
        <v>22</v>
      </c>
      <c r="C26" s="21" t="s">
        <v>194</v>
      </c>
      <c r="D26" s="20" t="s">
        <v>130</v>
      </c>
      <c r="E26" s="21" t="s">
        <v>169</v>
      </c>
      <c r="F26" s="20" t="s">
        <v>162</v>
      </c>
      <c r="G26" s="20" t="s">
        <v>151</v>
      </c>
      <c r="H26" s="20"/>
      <c r="I26" s="20" t="s">
        <v>42</v>
      </c>
      <c r="J26" s="20"/>
      <c r="K26" s="20" t="s">
        <v>133</v>
      </c>
      <c r="L26" s="20"/>
      <c r="M26" s="20"/>
    </row>
    <row r="27" spans="2:13" ht="30" customHeight="1" x14ac:dyDescent="0.35">
      <c r="B27" s="23">
        <f>ROW() - ROW(Table14[[#Headers],[No]])</f>
        <v>23</v>
      </c>
      <c r="C27" s="21" t="s">
        <v>195</v>
      </c>
      <c r="D27" s="20" t="s">
        <v>130</v>
      </c>
      <c r="E27" s="21" t="s">
        <v>169</v>
      </c>
      <c r="F27" s="20" t="s">
        <v>162</v>
      </c>
      <c r="G27" s="20" t="s">
        <v>196</v>
      </c>
      <c r="H27" s="20"/>
      <c r="I27" s="20" t="s">
        <v>42</v>
      </c>
      <c r="J27" s="20"/>
      <c r="K27" s="20" t="s">
        <v>133</v>
      </c>
      <c r="L27" s="20"/>
      <c r="M27" s="20"/>
    </row>
    <row r="28" spans="2:13" ht="30" customHeight="1" x14ac:dyDescent="0.35">
      <c r="B28" s="23">
        <f>ROW() - ROW(Table14[[#Headers],[No]])</f>
        <v>24</v>
      </c>
      <c r="C28" s="21" t="s">
        <v>197</v>
      </c>
      <c r="D28" s="20" t="s">
        <v>130</v>
      </c>
      <c r="E28" s="21" t="s">
        <v>198</v>
      </c>
      <c r="F28" s="20" t="s">
        <v>207</v>
      </c>
      <c r="G28" s="20" t="s">
        <v>199</v>
      </c>
      <c r="H28" s="20"/>
      <c r="I28" s="20" t="s">
        <v>23</v>
      </c>
      <c r="J28" s="20"/>
      <c r="K28" s="20" t="s">
        <v>135</v>
      </c>
      <c r="L28" s="20"/>
      <c r="M28" s="20"/>
    </row>
    <row r="29" spans="2:13" ht="30" customHeight="1" x14ac:dyDescent="0.35">
      <c r="B29" s="23">
        <f>ROW() - ROW(Table14[[#Headers],[No]])</f>
        <v>25</v>
      </c>
      <c r="C29" s="21" t="s">
        <v>200</v>
      </c>
      <c r="D29" s="20" t="s">
        <v>130</v>
      </c>
      <c r="E29" s="21" t="s">
        <v>198</v>
      </c>
      <c r="F29" s="20" t="s">
        <v>208</v>
      </c>
      <c r="G29" s="20" t="s">
        <v>199</v>
      </c>
      <c r="H29" s="20"/>
      <c r="I29" s="20" t="s">
        <v>23</v>
      </c>
      <c r="J29" s="20"/>
      <c r="K29" s="20" t="s">
        <v>135</v>
      </c>
      <c r="L29" s="20"/>
      <c r="M29" s="20"/>
    </row>
    <row r="30" spans="2:13" ht="30" customHeight="1" x14ac:dyDescent="0.35">
      <c r="B30" s="23">
        <f>ROW() - ROW(Table14[[#Headers],[No]])</f>
        <v>26</v>
      </c>
      <c r="C30" s="21" t="s">
        <v>201</v>
      </c>
      <c r="D30" s="20" t="s">
        <v>130</v>
      </c>
      <c r="E30" s="21" t="s">
        <v>202</v>
      </c>
      <c r="F30" s="20" t="s">
        <v>162</v>
      </c>
      <c r="G30" s="20" t="s">
        <v>161</v>
      </c>
      <c r="H30" s="20"/>
      <c r="I30" s="20" t="s">
        <v>42</v>
      </c>
      <c r="J30" s="20"/>
      <c r="K30" s="20" t="s">
        <v>135</v>
      </c>
      <c r="L30" s="20"/>
      <c r="M30" s="28"/>
    </row>
  </sheetData>
  <pageMargins left="0.7" right="0.7" top="0.75" bottom="0.75" header="0.3" footer="0.3"/>
  <legacy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85A6-2718-4104-B3C0-4E4662F69ED5}">
  <sheetPr>
    <tabColor theme="5" tint="-0.249977111117893"/>
  </sheetPr>
  <dimension ref="B1:R17"/>
  <sheetViews>
    <sheetView topLeftCell="G1" zoomScale="90" zoomScaleNormal="90" workbookViewId="0">
      <selection activeCell="B4" sqref="B4:R12"/>
    </sheetView>
  </sheetViews>
  <sheetFormatPr defaultRowHeight="14.5" x14ac:dyDescent="0.35"/>
  <cols>
    <col min="1" max="1" width="2.26953125" customWidth="1"/>
    <col min="2" max="2" width="14.54296875" style="1" customWidth="1"/>
    <col min="3" max="3" width="42.7265625" customWidth="1"/>
    <col min="4" max="4" width="39.7265625" customWidth="1"/>
    <col min="5" max="5" width="38.1796875" style="14" customWidth="1"/>
    <col min="6" max="6" width="24" customWidth="1"/>
    <col min="7" max="7" width="18.453125" customWidth="1"/>
    <col min="8" max="8" width="24.81640625" customWidth="1"/>
    <col min="9" max="12" width="14.1796875" style="1" customWidth="1"/>
    <col min="13" max="13" width="28.90625" customWidth="1"/>
    <col min="14" max="14" width="29.90625" customWidth="1"/>
    <col min="15" max="15" width="20.1796875" style="65" customWidth="1"/>
    <col min="16" max="16" width="20.1796875" style="73" customWidth="1"/>
    <col min="17" max="17" width="20.1796875" style="65" customWidth="1"/>
    <col min="18" max="18" width="38" customWidth="1"/>
  </cols>
  <sheetData>
    <row r="1" spans="2:18" x14ac:dyDescent="0.35">
      <c r="I1"/>
      <c r="J1"/>
      <c r="K1"/>
      <c r="L1"/>
      <c r="O1"/>
      <c r="P1"/>
      <c r="Q1"/>
    </row>
    <row r="2" spans="2:18" ht="23.5" x14ac:dyDescent="0.55000000000000004">
      <c r="B2" s="22" t="s">
        <v>211</v>
      </c>
      <c r="I2"/>
      <c r="J2"/>
      <c r="K2"/>
      <c r="L2"/>
      <c r="O2"/>
      <c r="P2"/>
      <c r="Q2"/>
    </row>
    <row r="3" spans="2:18" x14ac:dyDescent="0.35">
      <c r="I3"/>
      <c r="J3"/>
      <c r="K3"/>
      <c r="L3"/>
      <c r="O3"/>
      <c r="P3"/>
      <c r="Q3"/>
    </row>
    <row r="4" spans="2:18" s="2" customFormat="1" ht="29" x14ac:dyDescent="0.35">
      <c r="B4" s="123" t="s">
        <v>1</v>
      </c>
      <c r="C4" s="124" t="s">
        <v>2</v>
      </c>
      <c r="D4" s="124" t="s">
        <v>3</v>
      </c>
      <c r="E4" s="124" t="s">
        <v>4</v>
      </c>
      <c r="F4" s="124" t="s">
        <v>5</v>
      </c>
      <c r="G4" s="124" t="s">
        <v>6</v>
      </c>
      <c r="H4" s="124" t="s">
        <v>7</v>
      </c>
      <c r="I4" s="124" t="s">
        <v>8</v>
      </c>
      <c r="J4" s="124" t="s">
        <v>9</v>
      </c>
      <c r="K4" s="124" t="s">
        <v>10</v>
      </c>
      <c r="L4" s="124" t="s">
        <v>11</v>
      </c>
      <c r="M4" s="124" t="s">
        <v>12</v>
      </c>
      <c r="N4" s="124" t="s">
        <v>13</v>
      </c>
      <c r="O4" s="124" t="s">
        <v>14</v>
      </c>
      <c r="P4" s="124" t="s">
        <v>238</v>
      </c>
      <c r="Q4" s="138" t="s">
        <v>15</v>
      </c>
      <c r="R4" s="127" t="s">
        <v>16</v>
      </c>
    </row>
    <row r="5" spans="2:18" s="4" customFormat="1" ht="79.5" customHeight="1" x14ac:dyDescent="0.35">
      <c r="B5" s="137" t="str">
        <f>"IDS"&amp;TEXT(ROW(A1),"000")</f>
        <v>IDS001</v>
      </c>
      <c r="C5" s="20" t="s">
        <v>212</v>
      </c>
      <c r="D5" s="42" t="s">
        <v>18</v>
      </c>
      <c r="E5" s="21" t="s">
        <v>213</v>
      </c>
      <c r="F5" s="20" t="s">
        <v>214</v>
      </c>
      <c r="G5" s="20" t="s">
        <v>46</v>
      </c>
      <c r="H5" s="20" t="s">
        <v>214</v>
      </c>
      <c r="I5" s="48">
        <v>46023</v>
      </c>
      <c r="J5" s="52"/>
      <c r="K5" s="53">
        <v>46357</v>
      </c>
      <c r="L5" s="23"/>
      <c r="M5" s="20" t="s">
        <v>23</v>
      </c>
      <c r="N5" s="20" t="s">
        <v>23</v>
      </c>
      <c r="O5" s="66"/>
      <c r="P5" s="70"/>
      <c r="Q5" s="66" t="s">
        <v>215</v>
      </c>
      <c r="R5" s="120"/>
    </row>
    <row r="6" spans="2:18" s="4" customFormat="1" ht="111" customHeight="1" x14ac:dyDescent="0.35">
      <c r="B6" s="137" t="str">
        <f t="shared" ref="B6:B12" si="0">"IDS"&amp;TEXT(ROW(A2),"000")</f>
        <v>IDS002</v>
      </c>
      <c r="C6" s="20" t="s">
        <v>216</v>
      </c>
      <c r="D6" s="42" t="s">
        <v>18</v>
      </c>
      <c r="E6" s="20" t="s">
        <v>217</v>
      </c>
      <c r="F6" s="20" t="s">
        <v>214</v>
      </c>
      <c r="G6" s="20" t="s">
        <v>46</v>
      </c>
      <c r="H6" s="20" t="s">
        <v>214</v>
      </c>
      <c r="I6" s="48">
        <v>46023</v>
      </c>
      <c r="J6" s="23"/>
      <c r="K6" s="53">
        <v>46357</v>
      </c>
      <c r="L6" s="23"/>
      <c r="M6" s="20" t="s">
        <v>23</v>
      </c>
      <c r="N6" s="20" t="s">
        <v>23</v>
      </c>
      <c r="O6" s="66"/>
      <c r="P6" s="70"/>
      <c r="Q6" s="66" t="s">
        <v>215</v>
      </c>
      <c r="R6" s="120"/>
    </row>
    <row r="7" spans="2:18" s="4" customFormat="1" ht="69" customHeight="1" x14ac:dyDescent="0.35">
      <c r="B7" s="137" t="str">
        <f t="shared" si="0"/>
        <v>IDS003</v>
      </c>
      <c r="C7" s="20" t="s">
        <v>218</v>
      </c>
      <c r="D7" s="20" t="s">
        <v>18</v>
      </c>
      <c r="E7" s="21" t="s">
        <v>219</v>
      </c>
      <c r="F7" s="20" t="s">
        <v>220</v>
      </c>
      <c r="G7" s="21" t="s">
        <v>221</v>
      </c>
      <c r="H7" s="20" t="s">
        <v>220</v>
      </c>
      <c r="I7" s="48">
        <v>46023</v>
      </c>
      <c r="J7" s="23"/>
      <c r="K7" s="48">
        <v>46174</v>
      </c>
      <c r="L7" s="23"/>
      <c r="M7" s="20" t="s">
        <v>42</v>
      </c>
      <c r="N7" s="20" t="s">
        <v>42</v>
      </c>
      <c r="O7" s="66"/>
      <c r="P7" s="70"/>
      <c r="Q7" s="66" t="s">
        <v>215</v>
      </c>
      <c r="R7" s="120"/>
    </row>
    <row r="8" spans="2:18" s="4" customFormat="1" ht="70.5" customHeight="1" x14ac:dyDescent="0.35">
      <c r="B8" s="137" t="str">
        <f t="shared" si="0"/>
        <v>IDS004</v>
      </c>
      <c r="C8" s="20" t="s">
        <v>222</v>
      </c>
      <c r="D8" s="20" t="s">
        <v>18</v>
      </c>
      <c r="E8" s="21" t="s">
        <v>223</v>
      </c>
      <c r="F8" s="20" t="s">
        <v>205</v>
      </c>
      <c r="G8" s="21" t="s">
        <v>221</v>
      </c>
      <c r="H8" s="20" t="s">
        <v>205</v>
      </c>
      <c r="I8" s="48">
        <v>46143</v>
      </c>
      <c r="J8" s="23"/>
      <c r="K8" s="48">
        <v>46357</v>
      </c>
      <c r="L8" s="23"/>
      <c r="M8" s="20" t="s">
        <v>42</v>
      </c>
      <c r="N8" s="20" t="s">
        <v>42</v>
      </c>
      <c r="O8" s="67"/>
      <c r="P8" s="71"/>
      <c r="Q8" s="66" t="s">
        <v>215</v>
      </c>
      <c r="R8" s="121"/>
    </row>
    <row r="9" spans="2:18" s="4" customFormat="1" ht="57" customHeight="1" x14ac:dyDescent="0.35">
      <c r="B9" s="137" t="str">
        <f t="shared" si="0"/>
        <v>IDS005</v>
      </c>
      <c r="C9" s="20" t="s">
        <v>224</v>
      </c>
      <c r="D9" s="20" t="s">
        <v>18</v>
      </c>
      <c r="E9" s="21" t="s">
        <v>225</v>
      </c>
      <c r="F9" s="20" t="s">
        <v>226</v>
      </c>
      <c r="G9" s="21" t="s">
        <v>227</v>
      </c>
      <c r="H9" s="20" t="s">
        <v>226</v>
      </c>
      <c r="I9" s="48">
        <v>46143</v>
      </c>
      <c r="J9" s="23"/>
      <c r="K9" s="48">
        <v>46296</v>
      </c>
      <c r="L9" s="23"/>
      <c r="M9" s="20" t="s">
        <v>42</v>
      </c>
      <c r="N9" s="20" t="s">
        <v>42</v>
      </c>
      <c r="O9" s="67"/>
      <c r="P9" s="71"/>
      <c r="Q9" s="66" t="s">
        <v>215</v>
      </c>
      <c r="R9" s="122" t="s">
        <v>228</v>
      </c>
    </row>
    <row r="10" spans="2:18" s="4" customFormat="1" ht="119.5" customHeight="1" x14ac:dyDescent="0.35">
      <c r="B10" s="137" t="str">
        <f t="shared" si="0"/>
        <v>IDS006</v>
      </c>
      <c r="C10" s="20" t="s">
        <v>229</v>
      </c>
      <c r="D10" s="20" t="s">
        <v>18</v>
      </c>
      <c r="E10" s="21" t="s">
        <v>230</v>
      </c>
      <c r="F10" s="20" t="s">
        <v>231</v>
      </c>
      <c r="G10" s="21" t="s">
        <v>227</v>
      </c>
      <c r="H10" s="20" t="s">
        <v>231</v>
      </c>
      <c r="I10" s="48">
        <v>46143</v>
      </c>
      <c r="J10" s="23"/>
      <c r="K10" s="48">
        <v>46296</v>
      </c>
      <c r="L10" s="23"/>
      <c r="M10" s="20" t="s">
        <v>42</v>
      </c>
      <c r="N10" s="20" t="s">
        <v>42</v>
      </c>
      <c r="O10" s="67"/>
      <c r="P10" s="71"/>
      <c r="Q10" s="66" t="s">
        <v>215</v>
      </c>
      <c r="R10" s="122" t="s">
        <v>228</v>
      </c>
    </row>
    <row r="11" spans="2:18" s="4" customFormat="1" ht="91.5" customHeight="1" x14ac:dyDescent="0.35">
      <c r="B11" s="137" t="str">
        <f t="shared" si="0"/>
        <v>IDS007</v>
      </c>
      <c r="C11" s="20" t="s">
        <v>232</v>
      </c>
      <c r="D11" s="20" t="s">
        <v>18</v>
      </c>
      <c r="E11" s="21" t="s">
        <v>233</v>
      </c>
      <c r="F11" s="20" t="s">
        <v>234</v>
      </c>
      <c r="G11" s="21" t="s">
        <v>227</v>
      </c>
      <c r="H11" s="20" t="s">
        <v>234</v>
      </c>
      <c r="I11" s="48">
        <v>46143</v>
      </c>
      <c r="J11" s="23"/>
      <c r="K11" s="48">
        <v>46296</v>
      </c>
      <c r="L11" s="23"/>
      <c r="M11" s="20" t="s">
        <v>42</v>
      </c>
      <c r="N11" s="20" t="s">
        <v>42</v>
      </c>
      <c r="O11" s="67"/>
      <c r="P11" s="71"/>
      <c r="Q11" s="66" t="s">
        <v>215</v>
      </c>
      <c r="R11" s="122" t="s">
        <v>228</v>
      </c>
    </row>
    <row r="12" spans="2:18" s="4" customFormat="1" ht="110.5" customHeight="1" x14ac:dyDescent="0.35">
      <c r="B12" s="137" t="str">
        <f t="shared" si="0"/>
        <v>IDS008</v>
      </c>
      <c r="C12" s="37" t="s">
        <v>235</v>
      </c>
      <c r="D12" s="20" t="s">
        <v>18</v>
      </c>
      <c r="E12" s="38" t="s">
        <v>236</v>
      </c>
      <c r="F12" s="37" t="s">
        <v>148</v>
      </c>
      <c r="G12" s="21" t="s">
        <v>227</v>
      </c>
      <c r="H12" s="37" t="s">
        <v>148</v>
      </c>
      <c r="I12" s="48">
        <v>46143</v>
      </c>
      <c r="J12" s="50"/>
      <c r="K12" s="48">
        <v>46296</v>
      </c>
      <c r="L12" s="50"/>
      <c r="M12" s="37" t="s">
        <v>42</v>
      </c>
      <c r="N12" s="37" t="s">
        <v>42</v>
      </c>
      <c r="O12" s="67"/>
      <c r="P12" s="71"/>
      <c r="Q12" s="66" t="s">
        <v>215</v>
      </c>
      <c r="R12" s="122" t="s">
        <v>228</v>
      </c>
    </row>
    <row r="13" spans="2:18" s="4" customFormat="1" x14ac:dyDescent="0.35">
      <c r="B13" s="5"/>
      <c r="E13" s="2"/>
      <c r="I13" s="5"/>
      <c r="J13" s="5"/>
      <c r="K13" s="5"/>
      <c r="L13" s="5"/>
      <c r="O13" s="64"/>
      <c r="P13" s="72"/>
      <c r="Q13" s="64"/>
    </row>
    <row r="14" spans="2:18" s="4" customFormat="1" x14ac:dyDescent="0.35">
      <c r="B14" s="5"/>
      <c r="E14" s="2"/>
      <c r="I14" s="5"/>
      <c r="J14" s="5"/>
      <c r="K14" s="5"/>
      <c r="L14" s="5"/>
      <c r="O14" s="64"/>
      <c r="P14" s="72"/>
      <c r="Q14" s="64"/>
    </row>
    <row r="15" spans="2:18" s="4" customFormat="1" x14ac:dyDescent="0.35">
      <c r="B15" s="5"/>
      <c r="E15" s="2"/>
      <c r="I15" s="5"/>
      <c r="J15" s="5"/>
      <c r="K15" s="5"/>
      <c r="L15" s="5"/>
      <c r="O15" s="64"/>
      <c r="P15" s="72"/>
      <c r="Q15" s="64"/>
    </row>
    <row r="16" spans="2:18" s="4" customFormat="1" x14ac:dyDescent="0.35">
      <c r="B16" s="5"/>
      <c r="E16" s="2"/>
      <c r="I16" s="5"/>
      <c r="J16" s="5"/>
      <c r="K16" s="5"/>
      <c r="L16" s="5"/>
      <c r="O16" s="64"/>
      <c r="P16" s="72"/>
      <c r="Q16" s="64"/>
    </row>
    <row r="17" spans="2:17" s="4" customFormat="1" x14ac:dyDescent="0.35">
      <c r="B17" s="5"/>
      <c r="E17" s="2"/>
      <c r="I17" s="5"/>
      <c r="J17" s="5"/>
      <c r="K17" s="5"/>
      <c r="L17" s="5"/>
      <c r="O17" s="64"/>
      <c r="P17" s="72"/>
      <c r="Q17" s="64"/>
    </row>
  </sheetData>
  <pageMargins left="0.7" right="0.7" top="0.75" bottom="0.75" header="0.3" footer="0.3"/>
  <pageSetup paperSize="9" orientation="portrait"/>
  <legacy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35A67-2BD4-4DEC-83F9-C1C6CD235F18}">
  <dimension ref="B1:H431"/>
  <sheetViews>
    <sheetView tabSelected="1" topLeftCell="A351" workbookViewId="0">
      <selection activeCell="L351" sqref="L351"/>
    </sheetView>
  </sheetViews>
  <sheetFormatPr defaultRowHeight="18" customHeight="1" x14ac:dyDescent="0.35"/>
  <cols>
    <col min="1" max="1" width="2.26953125" customWidth="1"/>
    <col min="2" max="2" width="14.54296875" style="84" customWidth="1"/>
    <col min="3" max="3" width="32.1796875" style="4" customWidth="1"/>
    <col min="4" max="4" width="15.6328125" style="85" customWidth="1"/>
    <col min="5" max="5" width="15.6328125" style="86" customWidth="1"/>
    <col min="6" max="6" width="15.6328125" customWidth="1"/>
    <col min="7" max="7" width="15.6328125" style="85" customWidth="1"/>
    <col min="8" max="8" width="21.453125" style="111" customWidth="1"/>
  </cols>
  <sheetData>
    <row r="1" spans="2:8" ht="14.5" x14ac:dyDescent="0.35">
      <c r="B1" s="1"/>
      <c r="C1"/>
      <c r="D1"/>
      <c r="E1" s="14"/>
      <c r="G1"/>
      <c r="H1"/>
    </row>
    <row r="2" spans="2:8" ht="23.5" x14ac:dyDescent="0.55000000000000004">
      <c r="B2" s="22" t="s">
        <v>0</v>
      </c>
      <c r="C2"/>
      <c r="D2"/>
      <c r="E2" s="14"/>
      <c r="G2"/>
      <c r="H2"/>
    </row>
    <row r="3" spans="2:8" ht="14.5" x14ac:dyDescent="0.35">
      <c r="B3" s="1"/>
      <c r="C3"/>
      <c r="D3"/>
      <c r="E3" s="14"/>
      <c r="G3"/>
      <c r="H3"/>
    </row>
    <row r="4" spans="2:8" s="2" customFormat="1" ht="20" customHeight="1" x14ac:dyDescent="0.35">
      <c r="B4" s="87" t="s">
        <v>1</v>
      </c>
      <c r="C4" s="88" t="s">
        <v>237</v>
      </c>
      <c r="D4" s="88" t="s">
        <v>8</v>
      </c>
      <c r="E4" s="88" t="s">
        <v>10</v>
      </c>
      <c r="F4" s="88" t="s">
        <v>9</v>
      </c>
      <c r="G4" s="88" t="s">
        <v>11</v>
      </c>
      <c r="H4" s="88" t="s">
        <v>246</v>
      </c>
    </row>
    <row r="5" spans="2:8" s="4" customFormat="1" ht="18" customHeight="1" x14ac:dyDescent="0.35">
      <c r="B5" s="23" t="str">
        <f>"IDG"&amp;TEXT(ROW(A$1),"000")</f>
        <v>IDG001</v>
      </c>
      <c r="C5" s="21" t="s">
        <v>239</v>
      </c>
      <c r="D5" s="89">
        <v>46023</v>
      </c>
      <c r="E5" s="90">
        <v>46053</v>
      </c>
      <c r="F5" s="89">
        <v>46023</v>
      </c>
      <c r="G5" s="90">
        <v>46053</v>
      </c>
      <c r="H5" s="91"/>
    </row>
    <row r="6" spans="2:8" s="4" customFormat="1" ht="18" customHeight="1" x14ac:dyDescent="0.35">
      <c r="B6" s="23" t="str">
        <f>"IDG"&amp;TEXT(ROW(A$1),"000")</f>
        <v>IDG001</v>
      </c>
      <c r="C6" s="21" t="s">
        <v>240</v>
      </c>
      <c r="D6" s="89">
        <v>46023</v>
      </c>
      <c r="E6" s="90">
        <v>46053</v>
      </c>
      <c r="F6" s="89">
        <v>46023</v>
      </c>
      <c r="G6" s="90">
        <v>46053</v>
      </c>
      <c r="H6" s="91"/>
    </row>
    <row r="7" spans="2:8" s="4" customFormat="1" ht="18" customHeight="1" x14ac:dyDescent="0.35">
      <c r="B7" s="23" t="str">
        <f t="shared" ref="B7:B11" si="0">"IDG"&amp;TEXT(ROW(A$1),"000")</f>
        <v>IDG001</v>
      </c>
      <c r="C7" s="31" t="s">
        <v>241</v>
      </c>
      <c r="D7" s="89">
        <v>46054</v>
      </c>
      <c r="E7" s="90">
        <v>46203</v>
      </c>
      <c r="F7" s="89">
        <v>46054</v>
      </c>
      <c r="G7" s="90">
        <v>46203</v>
      </c>
      <c r="H7" s="91"/>
    </row>
    <row r="8" spans="2:8" s="4" customFormat="1" ht="18" customHeight="1" x14ac:dyDescent="0.35">
      <c r="B8" s="23" t="str">
        <f t="shared" si="0"/>
        <v>IDG001</v>
      </c>
      <c r="C8" s="31" t="s">
        <v>242</v>
      </c>
      <c r="D8" s="89">
        <v>46204</v>
      </c>
      <c r="E8" s="90">
        <v>46295</v>
      </c>
      <c r="F8" s="89">
        <v>46204</v>
      </c>
      <c r="G8" s="92"/>
      <c r="H8" s="93"/>
    </row>
    <row r="9" spans="2:8" s="4" customFormat="1" ht="18" customHeight="1" x14ac:dyDescent="0.35">
      <c r="B9" s="23" t="str">
        <f t="shared" si="0"/>
        <v>IDG001</v>
      </c>
      <c r="C9" s="31" t="s">
        <v>243</v>
      </c>
      <c r="D9" s="92">
        <v>46296</v>
      </c>
      <c r="E9" s="90">
        <v>46326</v>
      </c>
      <c r="F9" s="92"/>
      <c r="G9" s="92"/>
      <c r="H9" s="26"/>
    </row>
    <row r="10" spans="2:8" s="4" customFormat="1" ht="18" customHeight="1" x14ac:dyDescent="0.35">
      <c r="B10" s="23" t="str">
        <f t="shared" si="0"/>
        <v>IDG001</v>
      </c>
      <c r="C10" s="31" t="s">
        <v>244</v>
      </c>
      <c r="D10" s="92">
        <v>46327</v>
      </c>
      <c r="E10" s="90">
        <v>46356</v>
      </c>
      <c r="F10" s="92"/>
      <c r="G10" s="92"/>
      <c r="H10" s="26"/>
    </row>
    <row r="11" spans="2:8" s="4" customFormat="1" ht="18" customHeight="1" x14ac:dyDescent="0.35">
      <c r="B11" s="23" t="str">
        <f t="shared" si="0"/>
        <v>IDG001</v>
      </c>
      <c r="C11" s="31" t="s">
        <v>245</v>
      </c>
      <c r="D11" s="92">
        <v>46357</v>
      </c>
      <c r="E11" s="90">
        <v>46387</v>
      </c>
      <c r="F11" s="92"/>
      <c r="G11" s="92"/>
      <c r="H11" s="93"/>
    </row>
    <row r="12" spans="2:8" s="4" customFormat="1" ht="18" customHeight="1" x14ac:dyDescent="0.35">
      <c r="B12" s="23" t="str">
        <f>"IDG"&amp;TEXT(ROW(A$2),"000")</f>
        <v>IDG002</v>
      </c>
      <c r="C12" s="21" t="s">
        <v>239</v>
      </c>
      <c r="D12" s="89">
        <v>46023</v>
      </c>
      <c r="E12" s="90">
        <v>46053</v>
      </c>
      <c r="F12" s="89">
        <v>46023</v>
      </c>
      <c r="G12" s="90">
        <v>46053</v>
      </c>
      <c r="H12" s="93"/>
    </row>
    <row r="13" spans="2:8" s="4" customFormat="1" ht="18" customHeight="1" x14ac:dyDescent="0.35">
      <c r="B13" s="23" t="str">
        <f t="shared" ref="B13:B18" si="1">"IDG"&amp;TEXT(ROW(A$2),"000")</f>
        <v>IDG002</v>
      </c>
      <c r="C13" s="21" t="s">
        <v>240</v>
      </c>
      <c r="D13" s="89">
        <v>46023</v>
      </c>
      <c r="E13" s="90">
        <v>46053</v>
      </c>
      <c r="F13" s="89">
        <v>46023</v>
      </c>
      <c r="G13" s="90">
        <v>46053</v>
      </c>
      <c r="H13" s="91"/>
    </row>
    <row r="14" spans="2:8" s="4" customFormat="1" ht="18" customHeight="1" x14ac:dyDescent="0.35">
      <c r="B14" s="23" t="str">
        <f t="shared" si="1"/>
        <v>IDG002</v>
      </c>
      <c r="C14" s="31" t="s">
        <v>241</v>
      </c>
      <c r="D14" s="89">
        <v>46054</v>
      </c>
      <c r="E14" s="90">
        <v>46203</v>
      </c>
      <c r="F14" s="89">
        <v>46054</v>
      </c>
      <c r="G14" s="90">
        <v>46203</v>
      </c>
      <c r="H14" s="91"/>
    </row>
    <row r="15" spans="2:8" s="4" customFormat="1" ht="18" customHeight="1" x14ac:dyDescent="0.35">
      <c r="B15" s="23" t="str">
        <f t="shared" si="1"/>
        <v>IDG002</v>
      </c>
      <c r="C15" s="31" t="s">
        <v>242</v>
      </c>
      <c r="D15" s="89">
        <v>46204</v>
      </c>
      <c r="E15" s="90">
        <v>46295</v>
      </c>
      <c r="F15" s="89">
        <v>46204</v>
      </c>
      <c r="G15" s="92"/>
      <c r="H15" s="93"/>
    </row>
    <row r="16" spans="2:8" s="4" customFormat="1" ht="18" customHeight="1" x14ac:dyDescent="0.35">
      <c r="B16" s="23" t="str">
        <f t="shared" si="1"/>
        <v>IDG002</v>
      </c>
      <c r="C16" s="31" t="s">
        <v>243</v>
      </c>
      <c r="D16" s="92">
        <v>46296</v>
      </c>
      <c r="E16" s="90">
        <v>46326</v>
      </c>
      <c r="F16" s="92"/>
      <c r="G16" s="92"/>
      <c r="H16" s="26"/>
    </row>
    <row r="17" spans="2:8" s="4" customFormat="1" ht="18" customHeight="1" x14ac:dyDescent="0.35">
      <c r="B17" s="23" t="str">
        <f t="shared" si="1"/>
        <v>IDG002</v>
      </c>
      <c r="C17" s="31" t="s">
        <v>244</v>
      </c>
      <c r="D17" s="92">
        <v>46327</v>
      </c>
      <c r="E17" s="90">
        <v>46356</v>
      </c>
      <c r="F17" s="92"/>
      <c r="G17" s="92"/>
      <c r="H17" s="26"/>
    </row>
    <row r="18" spans="2:8" s="4" customFormat="1" ht="18" customHeight="1" x14ac:dyDescent="0.35">
      <c r="B18" s="77" t="str">
        <f t="shared" si="1"/>
        <v>IDG002</v>
      </c>
      <c r="C18" s="76" t="s">
        <v>245</v>
      </c>
      <c r="D18" s="92">
        <v>46357</v>
      </c>
      <c r="E18" s="90">
        <v>46387</v>
      </c>
      <c r="F18" s="94"/>
      <c r="G18" s="94"/>
      <c r="H18" s="95"/>
    </row>
    <row r="19" spans="2:8" s="4" customFormat="1" ht="18" customHeight="1" x14ac:dyDescent="0.35">
      <c r="B19" s="23" t="str">
        <f>"IDG"&amp;TEXT(ROW(A$3),"000")</f>
        <v>IDG003</v>
      </c>
      <c r="C19" s="20" t="s">
        <v>239</v>
      </c>
      <c r="D19" s="89">
        <v>46023</v>
      </c>
      <c r="E19" s="90">
        <v>46053</v>
      </c>
      <c r="F19" s="89">
        <v>46023</v>
      </c>
      <c r="G19" s="90">
        <v>46053</v>
      </c>
      <c r="H19" s="93"/>
    </row>
    <row r="20" spans="2:8" s="4" customFormat="1" ht="18" customHeight="1" x14ac:dyDescent="0.35">
      <c r="B20" s="23" t="str">
        <f t="shared" ref="B20:B25" si="2">"IDG"&amp;TEXT(ROW(A$3),"000")</f>
        <v>IDG003</v>
      </c>
      <c r="C20" s="20" t="s">
        <v>240</v>
      </c>
      <c r="D20" s="89">
        <v>46023</v>
      </c>
      <c r="E20" s="90">
        <v>46053</v>
      </c>
      <c r="F20" s="89">
        <v>46023</v>
      </c>
      <c r="G20" s="90">
        <v>46053</v>
      </c>
      <c r="H20" s="93"/>
    </row>
    <row r="21" spans="2:8" s="4" customFormat="1" ht="18" customHeight="1" x14ac:dyDescent="0.35">
      <c r="B21" s="23" t="str">
        <f t="shared" si="2"/>
        <v>IDG003</v>
      </c>
      <c r="C21" s="31" t="s">
        <v>241</v>
      </c>
      <c r="D21" s="89">
        <v>46054</v>
      </c>
      <c r="E21" s="90">
        <v>46203</v>
      </c>
      <c r="F21" s="89">
        <v>46054</v>
      </c>
      <c r="G21" s="90">
        <v>46203</v>
      </c>
      <c r="H21" s="93"/>
    </row>
    <row r="22" spans="2:8" s="4" customFormat="1" ht="18" customHeight="1" x14ac:dyDescent="0.35">
      <c r="B22" s="23" t="str">
        <f t="shared" si="2"/>
        <v>IDG003</v>
      </c>
      <c r="C22" s="31" t="s">
        <v>242</v>
      </c>
      <c r="D22" s="89">
        <v>46204</v>
      </c>
      <c r="E22" s="90">
        <v>46295</v>
      </c>
      <c r="F22" s="89">
        <v>46204</v>
      </c>
      <c r="G22" s="92"/>
      <c r="H22" s="93"/>
    </row>
    <row r="23" spans="2:8" s="4" customFormat="1" ht="18" customHeight="1" x14ac:dyDescent="0.35">
      <c r="B23" s="23" t="str">
        <f t="shared" si="2"/>
        <v>IDG003</v>
      </c>
      <c r="C23" s="31" t="s">
        <v>243</v>
      </c>
      <c r="D23" s="92">
        <v>46296</v>
      </c>
      <c r="E23" s="90">
        <v>46326</v>
      </c>
      <c r="F23" s="92"/>
      <c r="G23" s="92"/>
      <c r="H23" s="93"/>
    </row>
    <row r="24" spans="2:8" s="4" customFormat="1" ht="18" customHeight="1" x14ac:dyDescent="0.35">
      <c r="B24" s="23" t="str">
        <f t="shared" si="2"/>
        <v>IDG003</v>
      </c>
      <c r="C24" s="31" t="s">
        <v>244</v>
      </c>
      <c r="D24" s="92">
        <v>46327</v>
      </c>
      <c r="E24" s="90">
        <v>46356</v>
      </c>
      <c r="F24" s="92"/>
      <c r="G24" s="92"/>
      <c r="H24" s="93"/>
    </row>
    <row r="25" spans="2:8" s="4" customFormat="1" ht="18" customHeight="1" x14ac:dyDescent="0.35">
      <c r="B25" s="23" t="str">
        <f t="shared" si="2"/>
        <v>IDG003</v>
      </c>
      <c r="C25" s="76" t="s">
        <v>245</v>
      </c>
      <c r="D25" s="92">
        <v>46357</v>
      </c>
      <c r="E25" s="90">
        <v>46387</v>
      </c>
      <c r="F25" s="94"/>
      <c r="G25" s="94"/>
      <c r="H25" s="93"/>
    </row>
    <row r="26" spans="2:8" s="4" customFormat="1" ht="18" customHeight="1" x14ac:dyDescent="0.35">
      <c r="B26" s="23" t="str">
        <f>"IDG"&amp;TEXT(ROW(A$4),"000")</f>
        <v>IDG004</v>
      </c>
      <c r="C26" s="20" t="s">
        <v>239</v>
      </c>
      <c r="D26" s="92">
        <v>46235</v>
      </c>
      <c r="E26" s="96">
        <v>46265</v>
      </c>
      <c r="F26" s="92">
        <v>46235</v>
      </c>
      <c r="G26" s="92"/>
      <c r="H26" s="93"/>
    </row>
    <row r="27" spans="2:8" s="4" customFormat="1" ht="18" customHeight="1" x14ac:dyDescent="0.35">
      <c r="B27" s="23" t="str">
        <f t="shared" ref="B27:B32" si="3">"IDG"&amp;TEXT(ROW(A$4),"000")</f>
        <v>IDG004</v>
      </c>
      <c r="C27" s="20" t="s">
        <v>240</v>
      </c>
      <c r="D27" s="92">
        <v>46235</v>
      </c>
      <c r="E27" s="96">
        <v>46265</v>
      </c>
      <c r="F27" s="92">
        <v>46235</v>
      </c>
      <c r="G27" s="92"/>
      <c r="H27" s="93"/>
    </row>
    <row r="28" spans="2:8" s="4" customFormat="1" ht="18" customHeight="1" x14ac:dyDescent="0.35">
      <c r="B28" s="23" t="str">
        <f t="shared" si="3"/>
        <v>IDG004</v>
      </c>
      <c r="C28" s="31" t="s">
        <v>241</v>
      </c>
      <c r="D28" s="92">
        <v>46266</v>
      </c>
      <c r="E28" s="96">
        <v>46326</v>
      </c>
      <c r="F28" s="92"/>
      <c r="G28" s="92"/>
      <c r="H28" s="93"/>
    </row>
    <row r="29" spans="2:8" s="4" customFormat="1" ht="18" customHeight="1" x14ac:dyDescent="0.35">
      <c r="B29" s="23" t="str">
        <f t="shared" si="3"/>
        <v>IDG004</v>
      </c>
      <c r="C29" s="31" t="s">
        <v>242</v>
      </c>
      <c r="D29" s="92">
        <v>46327</v>
      </c>
      <c r="E29" s="96">
        <v>46338</v>
      </c>
      <c r="F29" s="92"/>
      <c r="G29" s="92"/>
      <c r="H29" s="93"/>
    </row>
    <row r="30" spans="2:8" s="4" customFormat="1" ht="18" customHeight="1" x14ac:dyDescent="0.35">
      <c r="B30" s="23" t="str">
        <f t="shared" si="3"/>
        <v>IDG004</v>
      </c>
      <c r="C30" s="31" t="s">
        <v>243</v>
      </c>
      <c r="D30" s="92">
        <v>46339</v>
      </c>
      <c r="E30" s="96">
        <v>46356</v>
      </c>
      <c r="F30" s="92"/>
      <c r="G30" s="92"/>
      <c r="H30" s="93"/>
    </row>
    <row r="31" spans="2:8" s="4" customFormat="1" ht="18" customHeight="1" x14ac:dyDescent="0.35">
      <c r="B31" s="23" t="str">
        <f t="shared" si="3"/>
        <v>IDG004</v>
      </c>
      <c r="C31" s="31" t="s">
        <v>244</v>
      </c>
      <c r="D31" s="92">
        <v>46357</v>
      </c>
      <c r="E31" s="96">
        <v>46368</v>
      </c>
      <c r="F31" s="92"/>
      <c r="G31" s="92"/>
      <c r="H31" s="93"/>
    </row>
    <row r="32" spans="2:8" s="4" customFormat="1" ht="18" customHeight="1" x14ac:dyDescent="0.35">
      <c r="B32" s="23" t="str">
        <f t="shared" si="3"/>
        <v>IDG004</v>
      </c>
      <c r="C32" s="76" t="s">
        <v>245</v>
      </c>
      <c r="D32" s="94">
        <v>46369</v>
      </c>
      <c r="E32" s="97">
        <v>46387</v>
      </c>
      <c r="F32" s="94"/>
      <c r="G32" s="94"/>
      <c r="H32" s="93"/>
    </row>
    <row r="33" spans="2:8" s="4" customFormat="1" ht="18" customHeight="1" x14ac:dyDescent="0.35">
      <c r="B33" s="23" t="str">
        <f>"IDG"&amp;TEXT(ROW(A$5),"000")</f>
        <v>IDG005</v>
      </c>
      <c r="C33" s="20" t="s">
        <v>239</v>
      </c>
      <c r="D33" s="89">
        <v>46023</v>
      </c>
      <c r="E33" s="90">
        <v>46053</v>
      </c>
      <c r="F33" s="89">
        <v>46023</v>
      </c>
      <c r="G33" s="90">
        <v>46053</v>
      </c>
      <c r="H33" s="93"/>
    </row>
    <row r="34" spans="2:8" s="4" customFormat="1" ht="18" customHeight="1" x14ac:dyDescent="0.35">
      <c r="B34" s="23" t="str">
        <f t="shared" ref="B34:B39" si="4">"IDG"&amp;TEXT(ROW(A$5),"000")</f>
        <v>IDG005</v>
      </c>
      <c r="C34" s="20" t="s">
        <v>240</v>
      </c>
      <c r="D34" s="89">
        <v>46023</v>
      </c>
      <c r="E34" s="90">
        <v>46053</v>
      </c>
      <c r="F34" s="89">
        <v>46023</v>
      </c>
      <c r="G34" s="90">
        <v>46053</v>
      </c>
      <c r="H34" s="93"/>
    </row>
    <row r="35" spans="2:8" s="4" customFormat="1" ht="18" customHeight="1" x14ac:dyDescent="0.35">
      <c r="B35" s="23" t="str">
        <f t="shared" si="4"/>
        <v>IDG005</v>
      </c>
      <c r="C35" s="31" t="s">
        <v>241</v>
      </c>
      <c r="D35" s="89">
        <v>46054</v>
      </c>
      <c r="E35" s="90">
        <v>46203</v>
      </c>
      <c r="F35" s="89">
        <v>46054</v>
      </c>
      <c r="G35" s="90">
        <v>46203</v>
      </c>
      <c r="H35" s="93"/>
    </row>
    <row r="36" spans="2:8" ht="18" customHeight="1" x14ac:dyDescent="0.35">
      <c r="B36" s="23" t="str">
        <f t="shared" si="4"/>
        <v>IDG005</v>
      </c>
      <c r="C36" s="31" t="s">
        <v>242</v>
      </c>
      <c r="D36" s="89">
        <v>46204</v>
      </c>
      <c r="E36" s="90">
        <v>46295</v>
      </c>
      <c r="F36" s="89">
        <v>46204</v>
      </c>
      <c r="G36" s="92"/>
      <c r="H36" s="93"/>
    </row>
    <row r="37" spans="2:8" ht="18" customHeight="1" x14ac:dyDescent="0.35">
      <c r="B37" s="23" t="str">
        <f t="shared" si="4"/>
        <v>IDG005</v>
      </c>
      <c r="C37" s="31" t="s">
        <v>243</v>
      </c>
      <c r="D37" s="92">
        <v>46296</v>
      </c>
      <c r="E37" s="90">
        <v>46326</v>
      </c>
      <c r="F37" s="92"/>
      <c r="G37" s="92"/>
      <c r="H37" s="93"/>
    </row>
    <row r="38" spans="2:8" ht="18" customHeight="1" x14ac:dyDescent="0.35">
      <c r="B38" s="23" t="str">
        <f t="shared" si="4"/>
        <v>IDG005</v>
      </c>
      <c r="C38" s="31" t="s">
        <v>244</v>
      </c>
      <c r="D38" s="92">
        <v>46327</v>
      </c>
      <c r="E38" s="90">
        <v>46356</v>
      </c>
      <c r="F38" s="92"/>
      <c r="G38" s="92"/>
      <c r="H38" s="93"/>
    </row>
    <row r="39" spans="2:8" ht="18" customHeight="1" x14ac:dyDescent="0.35">
      <c r="B39" s="23" t="str">
        <f t="shared" si="4"/>
        <v>IDG005</v>
      </c>
      <c r="C39" s="76" t="s">
        <v>245</v>
      </c>
      <c r="D39" s="92">
        <v>46357</v>
      </c>
      <c r="E39" s="90">
        <v>46387</v>
      </c>
      <c r="F39" s="94"/>
      <c r="G39" s="94"/>
      <c r="H39" s="93"/>
    </row>
    <row r="40" spans="2:8" ht="18" customHeight="1" x14ac:dyDescent="0.35">
      <c r="B40" s="23" t="str">
        <f>"IDG"&amp;TEXT(ROW(A$6),"000")</f>
        <v>IDG006</v>
      </c>
      <c r="C40" s="20" t="s">
        <v>239</v>
      </c>
      <c r="D40" s="92">
        <v>46144</v>
      </c>
      <c r="E40" s="96">
        <v>46173</v>
      </c>
      <c r="F40" s="92">
        <v>46144</v>
      </c>
      <c r="G40" s="96">
        <v>46173</v>
      </c>
      <c r="H40" s="93"/>
    </row>
    <row r="41" spans="2:8" ht="18" customHeight="1" x14ac:dyDescent="0.35">
      <c r="B41" s="23" t="str">
        <f t="shared" ref="B41:B46" si="5">"IDG"&amp;TEXT(ROW(A$6),"000")</f>
        <v>IDG006</v>
      </c>
      <c r="C41" s="20" t="s">
        <v>240</v>
      </c>
      <c r="D41" s="92">
        <v>46144</v>
      </c>
      <c r="E41" s="96">
        <v>46173</v>
      </c>
      <c r="F41" s="92">
        <v>46144</v>
      </c>
      <c r="G41" s="96">
        <v>46173</v>
      </c>
      <c r="H41" s="93"/>
    </row>
    <row r="42" spans="2:8" ht="18" customHeight="1" x14ac:dyDescent="0.35">
      <c r="B42" s="23" t="str">
        <f t="shared" si="5"/>
        <v>IDG006</v>
      </c>
      <c r="C42" s="31" t="s">
        <v>241</v>
      </c>
      <c r="D42" s="92">
        <v>46174</v>
      </c>
      <c r="E42" s="96">
        <v>46234</v>
      </c>
      <c r="F42" s="92">
        <v>46174</v>
      </c>
      <c r="G42" s="96">
        <v>46234</v>
      </c>
      <c r="H42" s="93"/>
    </row>
    <row r="43" spans="2:8" ht="18" customHeight="1" x14ac:dyDescent="0.35">
      <c r="B43" s="23" t="str">
        <f t="shared" si="5"/>
        <v>IDG006</v>
      </c>
      <c r="C43" s="31" t="s">
        <v>242</v>
      </c>
      <c r="D43" s="92">
        <v>46235</v>
      </c>
      <c r="E43" s="96">
        <v>46248</v>
      </c>
      <c r="F43" s="92">
        <v>46235</v>
      </c>
      <c r="G43" s="96">
        <v>46248</v>
      </c>
      <c r="H43" s="93"/>
    </row>
    <row r="44" spans="2:8" ht="18" customHeight="1" x14ac:dyDescent="0.35">
      <c r="B44" s="23" t="str">
        <f t="shared" si="5"/>
        <v>IDG006</v>
      </c>
      <c r="C44" s="31" t="s">
        <v>243</v>
      </c>
      <c r="D44" s="92">
        <v>46249</v>
      </c>
      <c r="E44" s="96">
        <v>46265</v>
      </c>
      <c r="F44" s="92">
        <v>46249</v>
      </c>
      <c r="G44" s="92"/>
      <c r="H44" s="93"/>
    </row>
    <row r="45" spans="2:8" ht="18" customHeight="1" x14ac:dyDescent="0.35">
      <c r="B45" s="23" t="str">
        <f t="shared" si="5"/>
        <v>IDG006</v>
      </c>
      <c r="C45" s="31" t="s">
        <v>244</v>
      </c>
      <c r="D45" s="92">
        <v>46266</v>
      </c>
      <c r="E45" s="96">
        <v>46295</v>
      </c>
      <c r="F45" s="92"/>
      <c r="G45" s="92"/>
      <c r="H45" s="93"/>
    </row>
    <row r="46" spans="2:8" ht="18" customHeight="1" x14ac:dyDescent="0.35">
      <c r="B46" s="23" t="str">
        <f t="shared" si="5"/>
        <v>IDG006</v>
      </c>
      <c r="C46" s="76" t="s">
        <v>245</v>
      </c>
      <c r="D46" s="94">
        <v>46296</v>
      </c>
      <c r="E46" s="97">
        <v>46326</v>
      </c>
      <c r="F46" s="94"/>
      <c r="G46" s="94"/>
      <c r="H46" s="93"/>
    </row>
    <row r="47" spans="2:8" ht="18" customHeight="1" x14ac:dyDescent="0.35">
      <c r="B47" s="23" t="str">
        <f>"IDG"&amp;TEXT(ROW(A$7),"000")</f>
        <v>IDG007</v>
      </c>
      <c r="C47" s="20" t="s">
        <v>239</v>
      </c>
      <c r="D47" s="92">
        <v>46204</v>
      </c>
      <c r="E47" s="96">
        <v>46234</v>
      </c>
      <c r="F47" s="92">
        <v>46204</v>
      </c>
      <c r="G47" s="96">
        <v>46234</v>
      </c>
      <c r="H47" s="93"/>
    </row>
    <row r="48" spans="2:8" ht="18" customHeight="1" x14ac:dyDescent="0.35">
      <c r="B48" s="23" t="str">
        <f t="shared" ref="B48:B53" si="6">"IDG"&amp;TEXT(ROW(A$7),"000")</f>
        <v>IDG007</v>
      </c>
      <c r="C48" s="20" t="s">
        <v>240</v>
      </c>
      <c r="D48" s="92">
        <v>46204</v>
      </c>
      <c r="E48" s="96">
        <v>46234</v>
      </c>
      <c r="F48" s="92">
        <v>46204</v>
      </c>
      <c r="G48" s="96">
        <v>46234</v>
      </c>
      <c r="H48" s="93"/>
    </row>
    <row r="49" spans="2:8" ht="18" customHeight="1" x14ac:dyDescent="0.35">
      <c r="B49" s="23" t="str">
        <f t="shared" si="6"/>
        <v>IDG007</v>
      </c>
      <c r="C49" s="31" t="s">
        <v>241</v>
      </c>
      <c r="D49" s="92">
        <v>46235</v>
      </c>
      <c r="E49" s="96">
        <v>46295</v>
      </c>
      <c r="F49" s="92">
        <v>46235</v>
      </c>
      <c r="G49" s="92"/>
      <c r="H49" s="93"/>
    </row>
    <row r="50" spans="2:8" ht="18" customHeight="1" x14ac:dyDescent="0.35">
      <c r="B50" s="23" t="str">
        <f t="shared" si="6"/>
        <v>IDG007</v>
      </c>
      <c r="C50" s="31" t="s">
        <v>242</v>
      </c>
      <c r="D50" s="92">
        <v>46296</v>
      </c>
      <c r="E50" s="96">
        <v>46309</v>
      </c>
      <c r="F50" s="92"/>
      <c r="G50" s="92"/>
      <c r="H50" s="93"/>
    </row>
    <row r="51" spans="2:8" ht="18" customHeight="1" x14ac:dyDescent="0.35">
      <c r="B51" s="23" t="str">
        <f t="shared" si="6"/>
        <v>IDG007</v>
      </c>
      <c r="C51" s="31" t="s">
        <v>243</v>
      </c>
      <c r="D51" s="92">
        <v>46310</v>
      </c>
      <c r="E51" s="96">
        <v>46325</v>
      </c>
      <c r="F51" s="92"/>
      <c r="G51" s="92"/>
      <c r="H51" s="93"/>
    </row>
    <row r="52" spans="2:8" ht="18" customHeight="1" x14ac:dyDescent="0.35">
      <c r="B52" s="23" t="str">
        <f t="shared" si="6"/>
        <v>IDG007</v>
      </c>
      <c r="C52" s="31" t="s">
        <v>244</v>
      </c>
      <c r="D52" s="92">
        <v>46327</v>
      </c>
      <c r="E52" s="96">
        <v>46356</v>
      </c>
      <c r="F52" s="92"/>
      <c r="G52" s="92"/>
      <c r="H52" s="93"/>
    </row>
    <row r="53" spans="2:8" ht="18" customHeight="1" x14ac:dyDescent="0.35">
      <c r="B53" s="23" t="str">
        <f t="shared" si="6"/>
        <v>IDG007</v>
      </c>
      <c r="C53" s="76" t="s">
        <v>245</v>
      </c>
      <c r="D53" s="94">
        <v>46357</v>
      </c>
      <c r="E53" s="97">
        <v>46387</v>
      </c>
      <c r="F53" s="94"/>
      <c r="G53" s="94"/>
      <c r="H53" s="93"/>
    </row>
    <row r="54" spans="2:8" ht="18" customHeight="1" x14ac:dyDescent="0.35">
      <c r="B54" s="23" t="str">
        <f>"IDG"&amp;TEXT(ROW(A$8),"000")</f>
        <v>IDG008</v>
      </c>
      <c r="C54" s="20" t="s">
        <v>239</v>
      </c>
      <c r="D54" s="92">
        <v>46144</v>
      </c>
      <c r="E54" s="96">
        <v>46173</v>
      </c>
      <c r="F54" s="92">
        <v>46144</v>
      </c>
      <c r="G54" s="96">
        <v>46173</v>
      </c>
      <c r="H54" s="93"/>
    </row>
    <row r="55" spans="2:8" ht="18" customHeight="1" x14ac:dyDescent="0.35">
      <c r="B55" s="23" t="str">
        <f t="shared" ref="B55:B60" si="7">"IDG"&amp;TEXT(ROW(A$8),"000")</f>
        <v>IDG008</v>
      </c>
      <c r="C55" s="20" t="s">
        <v>240</v>
      </c>
      <c r="D55" s="92">
        <v>46144</v>
      </c>
      <c r="E55" s="96">
        <v>46173</v>
      </c>
      <c r="F55" s="92">
        <v>46144</v>
      </c>
      <c r="G55" s="96">
        <v>46173</v>
      </c>
      <c r="H55" s="93"/>
    </row>
    <row r="56" spans="2:8" ht="18" customHeight="1" x14ac:dyDescent="0.35">
      <c r="B56" s="23" t="str">
        <f t="shared" si="7"/>
        <v>IDG008</v>
      </c>
      <c r="C56" s="31" t="s">
        <v>241</v>
      </c>
      <c r="D56" s="92">
        <v>46174</v>
      </c>
      <c r="E56" s="96">
        <v>46265</v>
      </c>
      <c r="F56" s="92">
        <v>46174</v>
      </c>
      <c r="G56" s="96">
        <v>46265</v>
      </c>
      <c r="H56" s="93"/>
    </row>
    <row r="57" spans="2:8" ht="18" customHeight="1" x14ac:dyDescent="0.35">
      <c r="B57" s="23" t="str">
        <f t="shared" si="7"/>
        <v>IDG008</v>
      </c>
      <c r="C57" s="31" t="s">
        <v>242</v>
      </c>
      <c r="D57" s="92">
        <v>46266</v>
      </c>
      <c r="E57" s="96">
        <v>46295</v>
      </c>
      <c r="F57" s="92"/>
      <c r="G57" s="92"/>
      <c r="H57" s="93"/>
    </row>
    <row r="58" spans="2:8" ht="18" customHeight="1" x14ac:dyDescent="0.35">
      <c r="B58" s="23" t="str">
        <f t="shared" si="7"/>
        <v>IDG008</v>
      </c>
      <c r="C58" s="31" t="s">
        <v>243</v>
      </c>
      <c r="D58" s="92">
        <v>46296</v>
      </c>
      <c r="E58" s="96">
        <v>46326</v>
      </c>
      <c r="F58" s="92"/>
      <c r="G58" s="92"/>
      <c r="H58" s="93"/>
    </row>
    <row r="59" spans="2:8" ht="18" customHeight="1" x14ac:dyDescent="0.35">
      <c r="B59" s="23" t="str">
        <f t="shared" si="7"/>
        <v>IDG008</v>
      </c>
      <c r="C59" s="31" t="s">
        <v>244</v>
      </c>
      <c r="D59" s="92">
        <v>46327</v>
      </c>
      <c r="E59" s="96">
        <v>46356</v>
      </c>
      <c r="F59" s="92"/>
      <c r="G59" s="92"/>
      <c r="H59" s="93"/>
    </row>
    <row r="60" spans="2:8" ht="18" customHeight="1" x14ac:dyDescent="0.35">
      <c r="B60" s="50" t="str">
        <f t="shared" si="7"/>
        <v>IDG008</v>
      </c>
      <c r="C60" s="78" t="s">
        <v>245</v>
      </c>
      <c r="D60" s="98">
        <v>46357</v>
      </c>
      <c r="E60" s="99">
        <v>46387</v>
      </c>
      <c r="F60" s="98"/>
      <c r="G60" s="98"/>
      <c r="H60" s="100"/>
    </row>
    <row r="61" spans="2:8" ht="18" customHeight="1" x14ac:dyDescent="0.35">
      <c r="B61" s="79" t="str">
        <f>"IDB"&amp;TEXT(ROW(A$1),"000")</f>
        <v>IDB001</v>
      </c>
      <c r="C61" s="80" t="s">
        <v>239</v>
      </c>
      <c r="D61" s="101">
        <v>46023</v>
      </c>
      <c r="E61" s="101">
        <v>46053</v>
      </c>
      <c r="F61" s="102">
        <v>46006</v>
      </c>
      <c r="G61" s="103">
        <v>46027</v>
      </c>
      <c r="H61" s="104"/>
    </row>
    <row r="62" spans="2:8" ht="18" customHeight="1" x14ac:dyDescent="0.35">
      <c r="B62" s="23" t="str">
        <f t="shared" ref="B62:B67" si="8">"IDB"&amp;TEXT(ROW(A$1),"000")</f>
        <v>IDB001</v>
      </c>
      <c r="C62" s="29" t="s">
        <v>240</v>
      </c>
      <c r="D62" s="105">
        <v>46037</v>
      </c>
      <c r="E62" s="105">
        <v>46068</v>
      </c>
      <c r="F62" s="106">
        <v>46024</v>
      </c>
      <c r="G62" s="92">
        <v>46034</v>
      </c>
      <c r="H62" s="93"/>
    </row>
    <row r="63" spans="2:8" ht="18" customHeight="1" x14ac:dyDescent="0.35">
      <c r="B63" s="23" t="str">
        <f t="shared" si="8"/>
        <v>IDB001</v>
      </c>
      <c r="C63" s="31" t="s">
        <v>241</v>
      </c>
      <c r="D63" s="92">
        <v>46054</v>
      </c>
      <c r="E63" s="92">
        <v>46081</v>
      </c>
      <c r="F63" s="96">
        <v>46035</v>
      </c>
      <c r="G63" s="92">
        <v>46058</v>
      </c>
      <c r="H63" s="93"/>
    </row>
    <row r="64" spans="2:8" ht="18" customHeight="1" x14ac:dyDescent="0.35">
      <c r="B64" s="23" t="str">
        <f t="shared" si="8"/>
        <v>IDB001</v>
      </c>
      <c r="C64" s="31" t="s">
        <v>242</v>
      </c>
      <c r="D64" s="92">
        <v>46068</v>
      </c>
      <c r="E64" s="92">
        <v>46091</v>
      </c>
      <c r="F64" s="96">
        <v>46059</v>
      </c>
      <c r="G64" s="92">
        <v>46068</v>
      </c>
      <c r="H64" s="93"/>
    </row>
    <row r="65" spans="2:8" ht="18" customHeight="1" x14ac:dyDescent="0.35">
      <c r="B65" s="23" t="str">
        <f t="shared" si="8"/>
        <v>IDB001</v>
      </c>
      <c r="C65" s="31" t="s">
        <v>243</v>
      </c>
      <c r="D65" s="92">
        <v>46082</v>
      </c>
      <c r="E65" s="92">
        <v>46101</v>
      </c>
      <c r="F65" s="96">
        <v>46069</v>
      </c>
      <c r="G65" s="92">
        <v>46078</v>
      </c>
      <c r="H65" s="93"/>
    </row>
    <row r="66" spans="2:8" ht="18" customHeight="1" x14ac:dyDescent="0.35">
      <c r="B66" s="23" t="str">
        <f t="shared" si="8"/>
        <v>IDB001</v>
      </c>
      <c r="C66" s="31" t="s">
        <v>244</v>
      </c>
      <c r="D66" s="92">
        <v>46096</v>
      </c>
      <c r="E66" s="92">
        <v>46106</v>
      </c>
      <c r="F66" s="96">
        <v>46079</v>
      </c>
      <c r="G66" s="92">
        <v>46086</v>
      </c>
      <c r="H66" s="93"/>
    </row>
    <row r="67" spans="2:8" ht="18" customHeight="1" x14ac:dyDescent="0.35">
      <c r="B67" s="23" t="str">
        <f t="shared" si="8"/>
        <v>IDB001</v>
      </c>
      <c r="C67" s="76" t="s">
        <v>245</v>
      </c>
      <c r="D67" s="92">
        <v>46101</v>
      </c>
      <c r="E67" s="92">
        <v>46112</v>
      </c>
      <c r="F67" s="96">
        <v>46087</v>
      </c>
      <c r="G67" s="92">
        <v>46101</v>
      </c>
      <c r="H67" s="93"/>
    </row>
    <row r="68" spans="2:8" ht="18" customHeight="1" x14ac:dyDescent="0.35">
      <c r="B68" s="23" t="str">
        <f>"IDB"&amp;TEXT(ROW(A$2),"000")</f>
        <v>IDB002</v>
      </c>
      <c r="C68" s="20" t="s">
        <v>239</v>
      </c>
      <c r="D68" s="105">
        <v>46023</v>
      </c>
      <c r="E68" s="92">
        <v>46053</v>
      </c>
      <c r="F68" s="106">
        <v>46027</v>
      </c>
      <c r="G68" s="92">
        <v>46042</v>
      </c>
      <c r="H68" s="93"/>
    </row>
    <row r="69" spans="2:8" ht="18" customHeight="1" x14ac:dyDescent="0.35">
      <c r="B69" s="23" t="str">
        <f t="shared" ref="B69:B74" si="9">"IDB"&amp;TEXT(ROW(A$2),"000")</f>
        <v>IDB002</v>
      </c>
      <c r="C69" s="20" t="s">
        <v>240</v>
      </c>
      <c r="D69" s="105">
        <v>46037</v>
      </c>
      <c r="E69" s="92">
        <v>46068</v>
      </c>
      <c r="F69" s="106">
        <v>46037</v>
      </c>
      <c r="G69" s="92">
        <v>46053</v>
      </c>
      <c r="H69" s="93"/>
    </row>
    <row r="70" spans="2:8" ht="18" customHeight="1" x14ac:dyDescent="0.35">
      <c r="B70" s="23" t="str">
        <f t="shared" si="9"/>
        <v>IDB002</v>
      </c>
      <c r="C70" s="31" t="s">
        <v>241</v>
      </c>
      <c r="D70" s="92">
        <v>46054</v>
      </c>
      <c r="E70" s="92">
        <v>46081</v>
      </c>
      <c r="F70" s="96">
        <v>46054</v>
      </c>
      <c r="G70" s="92">
        <v>46068</v>
      </c>
      <c r="H70" s="93"/>
    </row>
    <row r="71" spans="2:8" ht="18" customHeight="1" x14ac:dyDescent="0.35">
      <c r="B71" s="23" t="str">
        <f t="shared" si="9"/>
        <v>IDB002</v>
      </c>
      <c r="C71" s="31" t="s">
        <v>242</v>
      </c>
      <c r="D71" s="92">
        <v>46068</v>
      </c>
      <c r="E71" s="92">
        <v>46091</v>
      </c>
      <c r="F71" s="96">
        <v>46069</v>
      </c>
      <c r="G71" s="92">
        <v>46075</v>
      </c>
      <c r="H71" s="93"/>
    </row>
    <row r="72" spans="2:8" ht="18" customHeight="1" x14ac:dyDescent="0.35">
      <c r="B72" s="23" t="str">
        <f t="shared" si="9"/>
        <v>IDB002</v>
      </c>
      <c r="C72" s="31" t="s">
        <v>243</v>
      </c>
      <c r="D72" s="92">
        <v>46082</v>
      </c>
      <c r="E72" s="92">
        <v>46101</v>
      </c>
      <c r="F72" s="96">
        <v>46076</v>
      </c>
      <c r="G72" s="92">
        <v>46081</v>
      </c>
      <c r="H72" s="93"/>
    </row>
    <row r="73" spans="2:8" ht="18" customHeight="1" x14ac:dyDescent="0.35">
      <c r="B73" s="23" t="str">
        <f t="shared" si="9"/>
        <v>IDB002</v>
      </c>
      <c r="C73" s="31" t="s">
        <v>244</v>
      </c>
      <c r="D73" s="92">
        <v>46096</v>
      </c>
      <c r="E73" s="92">
        <v>46106</v>
      </c>
      <c r="F73" s="96">
        <v>46082</v>
      </c>
      <c r="G73" s="92">
        <v>46086</v>
      </c>
      <c r="H73" s="93"/>
    </row>
    <row r="74" spans="2:8" ht="18" customHeight="1" x14ac:dyDescent="0.35">
      <c r="B74" s="23" t="str">
        <f t="shared" si="9"/>
        <v>IDB002</v>
      </c>
      <c r="C74" s="76" t="s">
        <v>245</v>
      </c>
      <c r="D74" s="92">
        <v>46101</v>
      </c>
      <c r="E74" s="92">
        <v>46112</v>
      </c>
      <c r="F74" s="96">
        <v>46087</v>
      </c>
      <c r="G74" s="92">
        <v>46091</v>
      </c>
      <c r="H74" s="93"/>
    </row>
    <row r="75" spans="2:8" ht="18" customHeight="1" x14ac:dyDescent="0.35">
      <c r="B75" s="23" t="str">
        <f>"IDB"&amp;TEXT(ROW(A$3),"000")</f>
        <v>IDB003</v>
      </c>
      <c r="C75" s="20" t="s">
        <v>239</v>
      </c>
      <c r="D75" s="105">
        <v>46054</v>
      </c>
      <c r="E75" s="92">
        <v>46081</v>
      </c>
      <c r="F75" s="106"/>
      <c r="G75" s="92"/>
      <c r="H75" s="93"/>
    </row>
    <row r="76" spans="2:8" ht="18" customHeight="1" x14ac:dyDescent="0.35">
      <c r="B76" s="23" t="str">
        <f t="shared" ref="B76:B81" si="10">"IDB"&amp;TEXT(ROW(A$3),"000")</f>
        <v>IDB003</v>
      </c>
      <c r="C76" s="20" t="s">
        <v>240</v>
      </c>
      <c r="D76" s="105">
        <v>46068</v>
      </c>
      <c r="E76" s="92">
        <v>46112</v>
      </c>
      <c r="F76" s="106"/>
      <c r="G76" s="92"/>
      <c r="H76" s="93"/>
    </row>
    <row r="77" spans="2:8" ht="18" customHeight="1" x14ac:dyDescent="0.35">
      <c r="B77" s="23" t="str">
        <f t="shared" si="10"/>
        <v>IDB003</v>
      </c>
      <c r="C77" s="31" t="s">
        <v>241</v>
      </c>
      <c r="D77" s="92">
        <v>46082</v>
      </c>
      <c r="E77" s="92">
        <v>46142</v>
      </c>
      <c r="F77" s="96"/>
      <c r="G77" s="92"/>
      <c r="H77" s="93"/>
    </row>
    <row r="78" spans="2:8" ht="18" customHeight="1" x14ac:dyDescent="0.35">
      <c r="B78" s="23" t="str">
        <f t="shared" si="10"/>
        <v>IDB003</v>
      </c>
      <c r="C78" s="31" t="s">
        <v>242</v>
      </c>
      <c r="D78" s="92">
        <v>46127</v>
      </c>
      <c r="E78" s="92">
        <v>46157</v>
      </c>
      <c r="F78" s="96"/>
      <c r="G78" s="92"/>
      <c r="H78" s="93"/>
    </row>
    <row r="79" spans="2:8" ht="18" customHeight="1" x14ac:dyDescent="0.35">
      <c r="B79" s="23" t="str">
        <f t="shared" si="10"/>
        <v>IDB003</v>
      </c>
      <c r="C79" s="31" t="s">
        <v>243</v>
      </c>
      <c r="D79" s="92">
        <v>46143</v>
      </c>
      <c r="E79" s="92">
        <v>46173</v>
      </c>
      <c r="F79" s="96"/>
      <c r="G79" s="92"/>
      <c r="H79" s="93"/>
    </row>
    <row r="80" spans="2:8" ht="18" customHeight="1" x14ac:dyDescent="0.35">
      <c r="B80" s="23" t="str">
        <f t="shared" si="10"/>
        <v>IDB003</v>
      </c>
      <c r="C80" s="31" t="s">
        <v>244</v>
      </c>
      <c r="D80" s="92">
        <v>46174</v>
      </c>
      <c r="E80" s="92">
        <v>46188</v>
      </c>
      <c r="F80" s="96"/>
      <c r="G80" s="92"/>
      <c r="H80" s="93"/>
    </row>
    <row r="81" spans="2:8" ht="18" customHeight="1" x14ac:dyDescent="0.35">
      <c r="B81" s="23" t="str">
        <f t="shared" si="10"/>
        <v>IDB003</v>
      </c>
      <c r="C81" s="76" t="s">
        <v>245</v>
      </c>
      <c r="D81" s="92">
        <v>46189</v>
      </c>
      <c r="E81" s="92">
        <v>46203</v>
      </c>
      <c r="F81" s="96"/>
      <c r="G81" s="92"/>
      <c r="H81" s="93"/>
    </row>
    <row r="82" spans="2:8" ht="18" customHeight="1" x14ac:dyDescent="0.35">
      <c r="B82" s="23" t="str">
        <f>"IDB"&amp;TEXT(ROW(A$4),"000")</f>
        <v>IDB004</v>
      </c>
      <c r="C82" s="20" t="s">
        <v>239</v>
      </c>
      <c r="D82" s="105">
        <v>46054</v>
      </c>
      <c r="E82" s="92">
        <v>46081</v>
      </c>
      <c r="F82" s="106"/>
      <c r="G82" s="92"/>
      <c r="H82" s="93"/>
    </row>
    <row r="83" spans="2:8" ht="18" customHeight="1" x14ac:dyDescent="0.35">
      <c r="B83" s="23" t="str">
        <f t="shared" ref="B83:B88" si="11">"IDB"&amp;TEXT(ROW(A$4),"000")</f>
        <v>IDB004</v>
      </c>
      <c r="C83" s="20" t="s">
        <v>240</v>
      </c>
      <c r="D83" s="105">
        <v>46068</v>
      </c>
      <c r="E83" s="92">
        <v>46112</v>
      </c>
      <c r="F83" s="106"/>
      <c r="G83" s="92"/>
      <c r="H83" s="93"/>
    </row>
    <row r="84" spans="2:8" ht="18" customHeight="1" x14ac:dyDescent="0.35">
      <c r="B84" s="23" t="str">
        <f t="shared" si="11"/>
        <v>IDB004</v>
      </c>
      <c r="C84" s="31" t="s">
        <v>241</v>
      </c>
      <c r="D84" s="92">
        <v>46082</v>
      </c>
      <c r="E84" s="92">
        <v>46142</v>
      </c>
      <c r="F84" s="96"/>
      <c r="G84" s="92"/>
      <c r="H84" s="93"/>
    </row>
    <row r="85" spans="2:8" ht="18" customHeight="1" x14ac:dyDescent="0.35">
      <c r="B85" s="23" t="str">
        <f t="shared" si="11"/>
        <v>IDB004</v>
      </c>
      <c r="C85" s="31" t="s">
        <v>242</v>
      </c>
      <c r="D85" s="92">
        <v>46127</v>
      </c>
      <c r="E85" s="92">
        <v>46157</v>
      </c>
      <c r="F85" s="96"/>
      <c r="G85" s="92"/>
      <c r="H85" s="93"/>
    </row>
    <row r="86" spans="2:8" ht="18" customHeight="1" x14ac:dyDescent="0.35">
      <c r="B86" s="23" t="str">
        <f t="shared" si="11"/>
        <v>IDB004</v>
      </c>
      <c r="C86" s="31" t="s">
        <v>243</v>
      </c>
      <c r="D86" s="92">
        <v>46143</v>
      </c>
      <c r="E86" s="92">
        <v>46173</v>
      </c>
      <c r="F86" s="96"/>
      <c r="G86" s="92"/>
      <c r="H86" s="93"/>
    </row>
    <row r="87" spans="2:8" ht="18" customHeight="1" x14ac:dyDescent="0.35">
      <c r="B87" s="23" t="str">
        <f t="shared" si="11"/>
        <v>IDB004</v>
      </c>
      <c r="C87" s="31" t="s">
        <v>244</v>
      </c>
      <c r="D87" s="92">
        <v>46174</v>
      </c>
      <c r="E87" s="92">
        <v>46188</v>
      </c>
      <c r="F87" s="96"/>
      <c r="G87" s="92"/>
      <c r="H87" s="93"/>
    </row>
    <row r="88" spans="2:8" ht="18" customHeight="1" x14ac:dyDescent="0.35">
      <c r="B88" s="23" t="str">
        <f t="shared" si="11"/>
        <v>IDB004</v>
      </c>
      <c r="C88" s="76" t="s">
        <v>245</v>
      </c>
      <c r="D88" s="92">
        <v>46189</v>
      </c>
      <c r="E88" s="92">
        <v>46203</v>
      </c>
      <c r="F88" s="96"/>
      <c r="G88" s="92"/>
      <c r="H88" s="93"/>
    </row>
    <row r="89" spans="2:8" ht="18" customHeight="1" x14ac:dyDescent="0.35">
      <c r="B89" s="23" t="str">
        <f>"IDB"&amp;TEXT(ROW(A$5),"000")</f>
        <v>IDB005</v>
      </c>
      <c r="C89" s="20" t="s">
        <v>239</v>
      </c>
      <c r="D89" s="92">
        <v>46054</v>
      </c>
      <c r="E89" s="92">
        <v>46081</v>
      </c>
      <c r="F89" s="96"/>
      <c r="G89" s="92"/>
      <c r="H89" s="93"/>
    </row>
    <row r="90" spans="2:8" ht="18" customHeight="1" x14ac:dyDescent="0.35">
      <c r="B90" s="23" t="str">
        <f t="shared" ref="B90:B95" si="12">"IDB"&amp;TEXT(ROW(A$5),"000")</f>
        <v>IDB005</v>
      </c>
      <c r="C90" s="20" t="s">
        <v>240</v>
      </c>
      <c r="D90" s="92">
        <v>46068</v>
      </c>
      <c r="E90" s="92">
        <v>46112</v>
      </c>
      <c r="F90" s="96"/>
      <c r="G90" s="92"/>
      <c r="H90" s="93"/>
    </row>
    <row r="91" spans="2:8" ht="18" customHeight="1" x14ac:dyDescent="0.35">
      <c r="B91" s="23" t="str">
        <f t="shared" si="12"/>
        <v>IDB005</v>
      </c>
      <c r="C91" s="31" t="s">
        <v>241</v>
      </c>
      <c r="D91" s="92">
        <v>46082</v>
      </c>
      <c r="E91" s="92">
        <v>46142</v>
      </c>
      <c r="F91" s="96"/>
      <c r="G91" s="92"/>
      <c r="H91" s="93"/>
    </row>
    <row r="92" spans="2:8" ht="18" customHeight="1" x14ac:dyDescent="0.35">
      <c r="B92" s="23" t="str">
        <f t="shared" si="12"/>
        <v>IDB005</v>
      </c>
      <c r="C92" s="31" t="s">
        <v>242</v>
      </c>
      <c r="D92" s="92">
        <v>46127</v>
      </c>
      <c r="E92" s="92">
        <v>46157</v>
      </c>
      <c r="F92" s="96"/>
      <c r="G92" s="92"/>
      <c r="H92" s="93"/>
    </row>
    <row r="93" spans="2:8" ht="18" customHeight="1" x14ac:dyDescent="0.35">
      <c r="B93" s="23" t="str">
        <f t="shared" si="12"/>
        <v>IDB005</v>
      </c>
      <c r="C93" s="31" t="s">
        <v>243</v>
      </c>
      <c r="D93" s="92">
        <v>46143</v>
      </c>
      <c r="E93" s="92">
        <v>46173</v>
      </c>
      <c r="F93" s="96"/>
      <c r="G93" s="92"/>
      <c r="H93" s="93"/>
    </row>
    <row r="94" spans="2:8" ht="18" customHeight="1" x14ac:dyDescent="0.35">
      <c r="B94" s="23" t="str">
        <f t="shared" si="12"/>
        <v>IDB005</v>
      </c>
      <c r="C94" s="31" t="s">
        <v>244</v>
      </c>
      <c r="D94" s="92">
        <v>46174</v>
      </c>
      <c r="E94" s="92">
        <v>46188</v>
      </c>
      <c r="F94" s="96"/>
      <c r="G94" s="92"/>
      <c r="H94" s="93"/>
    </row>
    <row r="95" spans="2:8" ht="18" customHeight="1" x14ac:dyDescent="0.35">
      <c r="B95" s="23" t="str">
        <f t="shared" si="12"/>
        <v>IDB005</v>
      </c>
      <c r="C95" s="76" t="s">
        <v>245</v>
      </c>
      <c r="D95" s="92">
        <v>46189</v>
      </c>
      <c r="E95" s="92">
        <v>46203</v>
      </c>
      <c r="F95" s="96"/>
      <c r="G95" s="92"/>
      <c r="H95" s="93"/>
    </row>
    <row r="96" spans="2:8" ht="18" customHeight="1" x14ac:dyDescent="0.35">
      <c r="B96" s="23" t="str">
        <f>"IDB"&amp;TEXT(ROW(A$6),"000")</f>
        <v>IDB006</v>
      </c>
      <c r="C96" s="20" t="s">
        <v>239</v>
      </c>
      <c r="D96" s="92">
        <v>46174</v>
      </c>
      <c r="E96" s="92">
        <v>46203</v>
      </c>
      <c r="F96" s="96">
        <v>46122</v>
      </c>
      <c r="G96" s="92">
        <v>46142</v>
      </c>
      <c r="H96" s="93"/>
    </row>
    <row r="97" spans="2:8" ht="18" customHeight="1" x14ac:dyDescent="0.35">
      <c r="B97" s="23" t="str">
        <f t="shared" ref="B97:B102" si="13">"IDB"&amp;TEXT(ROW(A$6),"000")</f>
        <v>IDB006</v>
      </c>
      <c r="C97" s="20" t="s">
        <v>240</v>
      </c>
      <c r="D97" s="92">
        <v>46188</v>
      </c>
      <c r="E97" s="92">
        <v>46218</v>
      </c>
      <c r="F97" s="96">
        <v>46143</v>
      </c>
      <c r="G97" s="92">
        <v>46157</v>
      </c>
      <c r="H97" s="93"/>
    </row>
    <row r="98" spans="2:8" ht="18" customHeight="1" x14ac:dyDescent="0.35">
      <c r="B98" s="23" t="str">
        <f t="shared" si="13"/>
        <v>IDB006</v>
      </c>
      <c r="C98" s="31" t="s">
        <v>241</v>
      </c>
      <c r="D98" s="92">
        <v>46204</v>
      </c>
      <c r="E98" s="92">
        <v>46249</v>
      </c>
      <c r="F98" s="96">
        <v>46158</v>
      </c>
      <c r="G98" s="92">
        <v>46203</v>
      </c>
      <c r="H98" s="93"/>
    </row>
    <row r="99" spans="2:8" ht="18" customHeight="1" x14ac:dyDescent="0.35">
      <c r="B99" s="23" t="str">
        <f t="shared" si="13"/>
        <v>IDB006</v>
      </c>
      <c r="C99" s="31" t="s">
        <v>242</v>
      </c>
      <c r="D99" s="92">
        <v>46235</v>
      </c>
      <c r="E99" s="92">
        <v>46249</v>
      </c>
      <c r="F99" s="96">
        <v>46204</v>
      </c>
      <c r="G99" s="92">
        <v>46218</v>
      </c>
      <c r="H99" s="93"/>
    </row>
    <row r="100" spans="2:8" ht="18" customHeight="1" x14ac:dyDescent="0.35">
      <c r="B100" s="23" t="str">
        <f t="shared" si="13"/>
        <v>IDB006</v>
      </c>
      <c r="C100" s="31" t="s">
        <v>243</v>
      </c>
      <c r="D100" s="92">
        <v>46250</v>
      </c>
      <c r="E100" s="92">
        <v>46264</v>
      </c>
      <c r="F100" s="96">
        <v>46219</v>
      </c>
      <c r="G100" s="92">
        <v>46234</v>
      </c>
      <c r="H100" s="93"/>
    </row>
    <row r="101" spans="2:8" ht="18" customHeight="1" x14ac:dyDescent="0.35">
      <c r="B101" s="23" t="str">
        <f t="shared" si="13"/>
        <v>IDB006</v>
      </c>
      <c r="C101" s="31" t="s">
        <v>244</v>
      </c>
      <c r="D101" s="92">
        <v>46266</v>
      </c>
      <c r="E101" s="92">
        <v>46280</v>
      </c>
      <c r="F101" s="96">
        <v>46235</v>
      </c>
      <c r="G101" s="92">
        <v>46244</v>
      </c>
      <c r="H101" s="93"/>
    </row>
    <row r="102" spans="2:8" ht="18" customHeight="1" x14ac:dyDescent="0.35">
      <c r="B102" s="23" t="str">
        <f t="shared" si="13"/>
        <v>IDB006</v>
      </c>
      <c r="C102" s="76" t="s">
        <v>245</v>
      </c>
      <c r="D102" s="92">
        <v>46281</v>
      </c>
      <c r="E102" s="92">
        <v>46295</v>
      </c>
      <c r="F102" s="96">
        <v>46245</v>
      </c>
      <c r="G102" s="92"/>
      <c r="H102" s="93"/>
    </row>
    <row r="103" spans="2:8" ht="18" customHeight="1" x14ac:dyDescent="0.35">
      <c r="B103" s="23" t="str">
        <f>"IDB"&amp;TEXT(ROW(A$7),"000")</f>
        <v>IDB007</v>
      </c>
      <c r="C103" s="20" t="s">
        <v>239</v>
      </c>
      <c r="D103" s="92">
        <v>46174</v>
      </c>
      <c r="E103" s="92">
        <v>46203</v>
      </c>
      <c r="F103" s="96"/>
      <c r="G103" s="92"/>
      <c r="H103" s="93"/>
    </row>
    <row r="104" spans="2:8" ht="18" customHeight="1" x14ac:dyDescent="0.35">
      <c r="B104" s="23" t="str">
        <f t="shared" ref="B104:B109" si="14">"IDB"&amp;TEXT(ROW(A$7),"000")</f>
        <v>IDB007</v>
      </c>
      <c r="C104" s="20" t="s">
        <v>240</v>
      </c>
      <c r="D104" s="92">
        <v>46188</v>
      </c>
      <c r="E104" s="92">
        <v>46218</v>
      </c>
      <c r="F104" s="96"/>
      <c r="G104" s="92"/>
      <c r="H104" s="93"/>
    </row>
    <row r="105" spans="2:8" ht="18" customHeight="1" x14ac:dyDescent="0.35">
      <c r="B105" s="23" t="str">
        <f t="shared" si="14"/>
        <v>IDB007</v>
      </c>
      <c r="C105" s="31" t="s">
        <v>241</v>
      </c>
      <c r="D105" s="92">
        <v>46204</v>
      </c>
      <c r="E105" s="92">
        <v>46249</v>
      </c>
      <c r="F105" s="96"/>
      <c r="G105" s="92"/>
      <c r="H105" s="93"/>
    </row>
    <row r="106" spans="2:8" ht="18" customHeight="1" x14ac:dyDescent="0.35">
      <c r="B106" s="23" t="str">
        <f t="shared" si="14"/>
        <v>IDB007</v>
      </c>
      <c r="C106" s="31" t="s">
        <v>242</v>
      </c>
      <c r="D106" s="92">
        <v>46235</v>
      </c>
      <c r="E106" s="92">
        <v>46249</v>
      </c>
      <c r="F106" s="96"/>
      <c r="G106" s="92"/>
      <c r="H106" s="93"/>
    </row>
    <row r="107" spans="2:8" ht="18" customHeight="1" x14ac:dyDescent="0.35">
      <c r="B107" s="23" t="str">
        <f t="shared" si="14"/>
        <v>IDB007</v>
      </c>
      <c r="C107" s="31" t="s">
        <v>243</v>
      </c>
      <c r="D107" s="92">
        <v>46250</v>
      </c>
      <c r="E107" s="92">
        <v>46264</v>
      </c>
      <c r="F107" s="96"/>
      <c r="G107" s="92"/>
      <c r="H107" s="93"/>
    </row>
    <row r="108" spans="2:8" ht="18" customHeight="1" x14ac:dyDescent="0.35">
      <c r="B108" s="23" t="str">
        <f t="shared" si="14"/>
        <v>IDB007</v>
      </c>
      <c r="C108" s="31" t="s">
        <v>244</v>
      </c>
      <c r="D108" s="92">
        <v>46266</v>
      </c>
      <c r="E108" s="92">
        <v>46280</v>
      </c>
      <c r="F108" s="96"/>
      <c r="G108" s="92"/>
      <c r="H108" s="93"/>
    </row>
    <row r="109" spans="2:8" ht="18" customHeight="1" x14ac:dyDescent="0.35">
      <c r="B109" s="23" t="str">
        <f t="shared" si="14"/>
        <v>IDB007</v>
      </c>
      <c r="C109" s="76" t="s">
        <v>245</v>
      </c>
      <c r="D109" s="92">
        <v>46281</v>
      </c>
      <c r="E109" s="92">
        <v>46295</v>
      </c>
      <c r="F109" s="96"/>
      <c r="G109" s="92"/>
      <c r="H109" s="93"/>
    </row>
    <row r="110" spans="2:8" ht="18" customHeight="1" x14ac:dyDescent="0.35">
      <c r="B110" s="23" t="str">
        <f>"IDB"&amp;TEXT(ROW(A$8),"000")</f>
        <v>IDB008</v>
      </c>
      <c r="C110" s="20" t="s">
        <v>239</v>
      </c>
      <c r="D110" s="92">
        <v>46174</v>
      </c>
      <c r="E110" s="92">
        <v>46203</v>
      </c>
      <c r="F110" s="96"/>
      <c r="G110" s="92"/>
      <c r="H110" s="93"/>
    </row>
    <row r="111" spans="2:8" ht="18" customHeight="1" x14ac:dyDescent="0.35">
      <c r="B111" s="23" t="str">
        <f t="shared" ref="B111:B116" si="15">"IDB"&amp;TEXT(ROW(A$8),"000")</f>
        <v>IDB008</v>
      </c>
      <c r="C111" s="20" t="s">
        <v>240</v>
      </c>
      <c r="D111" s="92">
        <v>46188</v>
      </c>
      <c r="E111" s="92">
        <v>46218</v>
      </c>
      <c r="F111" s="96"/>
      <c r="G111" s="92"/>
      <c r="H111" s="93"/>
    </row>
    <row r="112" spans="2:8" ht="18" customHeight="1" x14ac:dyDescent="0.35">
      <c r="B112" s="23" t="str">
        <f t="shared" si="15"/>
        <v>IDB008</v>
      </c>
      <c r="C112" s="31" t="s">
        <v>241</v>
      </c>
      <c r="D112" s="92">
        <v>46204</v>
      </c>
      <c r="E112" s="92">
        <v>46249</v>
      </c>
      <c r="F112" s="96"/>
      <c r="G112" s="92"/>
      <c r="H112" s="93"/>
    </row>
    <row r="113" spans="2:8" ht="18" customHeight="1" x14ac:dyDescent="0.35">
      <c r="B113" s="23" t="str">
        <f t="shared" si="15"/>
        <v>IDB008</v>
      </c>
      <c r="C113" s="31" t="s">
        <v>242</v>
      </c>
      <c r="D113" s="92">
        <v>46235</v>
      </c>
      <c r="E113" s="92">
        <v>46249</v>
      </c>
      <c r="F113" s="96"/>
      <c r="G113" s="92"/>
      <c r="H113" s="93"/>
    </row>
    <row r="114" spans="2:8" ht="18" customHeight="1" x14ac:dyDescent="0.35">
      <c r="B114" s="23" t="str">
        <f t="shared" si="15"/>
        <v>IDB008</v>
      </c>
      <c r="C114" s="31" t="s">
        <v>243</v>
      </c>
      <c r="D114" s="92">
        <v>46250</v>
      </c>
      <c r="E114" s="92">
        <v>46264</v>
      </c>
      <c r="F114" s="96"/>
      <c r="G114" s="92"/>
      <c r="H114" s="93"/>
    </row>
    <row r="115" spans="2:8" ht="18" customHeight="1" x14ac:dyDescent="0.35">
      <c r="B115" s="23" t="str">
        <f t="shared" si="15"/>
        <v>IDB008</v>
      </c>
      <c r="C115" s="31" t="s">
        <v>244</v>
      </c>
      <c r="D115" s="92">
        <v>46266</v>
      </c>
      <c r="E115" s="92">
        <v>46280</v>
      </c>
      <c r="F115" s="96"/>
      <c r="G115" s="92"/>
      <c r="H115" s="93"/>
    </row>
    <row r="116" spans="2:8" ht="18" customHeight="1" x14ac:dyDescent="0.35">
      <c r="B116" s="23" t="str">
        <f t="shared" si="15"/>
        <v>IDB008</v>
      </c>
      <c r="C116" s="76" t="s">
        <v>245</v>
      </c>
      <c r="D116" s="92">
        <v>46281</v>
      </c>
      <c r="E116" s="92">
        <v>46295</v>
      </c>
      <c r="F116" s="96"/>
      <c r="G116" s="92"/>
      <c r="H116" s="93"/>
    </row>
    <row r="117" spans="2:8" ht="18" customHeight="1" x14ac:dyDescent="0.35">
      <c r="B117" s="23" t="str">
        <f>"IDB"&amp;TEXT(ROW(A$9),"000")</f>
        <v>IDB009</v>
      </c>
      <c r="C117" s="20" t="s">
        <v>239</v>
      </c>
      <c r="D117" s="92">
        <v>46266</v>
      </c>
      <c r="E117" s="92">
        <v>46295</v>
      </c>
      <c r="F117" s="96"/>
      <c r="G117" s="92"/>
      <c r="H117" s="93"/>
    </row>
    <row r="118" spans="2:8" ht="18" customHeight="1" x14ac:dyDescent="0.35">
      <c r="B118" s="23" t="str">
        <f t="shared" ref="B118:B123" si="16">"IDB"&amp;TEXT(ROW(A$9),"000")</f>
        <v>IDB009</v>
      </c>
      <c r="C118" s="20" t="s">
        <v>240</v>
      </c>
      <c r="D118" s="92">
        <v>46280</v>
      </c>
      <c r="E118" s="92">
        <v>46310</v>
      </c>
      <c r="F118" s="96"/>
      <c r="G118" s="92"/>
      <c r="H118" s="93"/>
    </row>
    <row r="119" spans="2:8" ht="18" customHeight="1" x14ac:dyDescent="0.35">
      <c r="B119" s="23" t="str">
        <f t="shared" si="16"/>
        <v>IDB009</v>
      </c>
      <c r="C119" s="31" t="s">
        <v>241</v>
      </c>
      <c r="D119" s="92">
        <v>46296</v>
      </c>
      <c r="E119" s="92">
        <v>46341</v>
      </c>
      <c r="F119" s="96"/>
      <c r="G119" s="92"/>
      <c r="H119" s="93"/>
    </row>
    <row r="120" spans="2:8" ht="18" customHeight="1" x14ac:dyDescent="0.35">
      <c r="B120" s="23" t="str">
        <f t="shared" si="16"/>
        <v>IDB009</v>
      </c>
      <c r="C120" s="31" t="s">
        <v>242</v>
      </c>
      <c r="D120" s="92">
        <v>46327</v>
      </c>
      <c r="E120" s="92">
        <v>46341</v>
      </c>
      <c r="F120" s="96"/>
      <c r="G120" s="92"/>
      <c r="H120" s="93"/>
    </row>
    <row r="121" spans="2:8" ht="18" customHeight="1" x14ac:dyDescent="0.35">
      <c r="B121" s="23" t="str">
        <f t="shared" si="16"/>
        <v>IDB009</v>
      </c>
      <c r="C121" s="31" t="s">
        <v>243</v>
      </c>
      <c r="D121" s="92">
        <v>46342</v>
      </c>
      <c r="E121" s="92">
        <v>46356</v>
      </c>
      <c r="F121" s="96"/>
      <c r="G121" s="92"/>
      <c r="H121" s="93"/>
    </row>
    <row r="122" spans="2:8" ht="18" customHeight="1" x14ac:dyDescent="0.35">
      <c r="B122" s="23" t="str">
        <f t="shared" si="16"/>
        <v>IDB009</v>
      </c>
      <c r="C122" s="31" t="s">
        <v>244</v>
      </c>
      <c r="D122" s="92">
        <v>46357</v>
      </c>
      <c r="E122" s="92">
        <v>46371</v>
      </c>
      <c r="F122" s="96"/>
      <c r="G122" s="92"/>
      <c r="H122" s="93"/>
    </row>
    <row r="123" spans="2:8" ht="18" customHeight="1" x14ac:dyDescent="0.35">
      <c r="B123" s="23" t="str">
        <f t="shared" si="16"/>
        <v>IDB009</v>
      </c>
      <c r="C123" s="76" t="s">
        <v>245</v>
      </c>
      <c r="D123" s="92">
        <v>46372</v>
      </c>
      <c r="E123" s="92">
        <v>46387</v>
      </c>
      <c r="F123" s="96"/>
      <c r="G123" s="92"/>
      <c r="H123" s="93"/>
    </row>
    <row r="124" spans="2:8" ht="18" customHeight="1" x14ac:dyDescent="0.35">
      <c r="B124" s="23" t="str">
        <f>"IDB"&amp;TEXT(ROW(A$10),"000")</f>
        <v>IDB010</v>
      </c>
      <c r="C124" s="20" t="s">
        <v>239</v>
      </c>
      <c r="D124" s="92">
        <v>46054</v>
      </c>
      <c r="E124" s="92">
        <v>46081</v>
      </c>
      <c r="F124" s="96"/>
      <c r="G124" s="92"/>
      <c r="H124" s="93"/>
    </row>
    <row r="125" spans="2:8" ht="18" customHeight="1" x14ac:dyDescent="0.35">
      <c r="B125" s="23" t="str">
        <f t="shared" ref="B125:B130" si="17">"IDB"&amp;TEXT(ROW(A$10),"000")</f>
        <v>IDB010</v>
      </c>
      <c r="C125" s="20" t="s">
        <v>240</v>
      </c>
      <c r="D125" s="92">
        <v>46068</v>
      </c>
      <c r="E125" s="92">
        <v>46112</v>
      </c>
      <c r="F125" s="96"/>
      <c r="G125" s="92"/>
      <c r="H125" s="93"/>
    </row>
    <row r="126" spans="2:8" ht="18" customHeight="1" x14ac:dyDescent="0.35">
      <c r="B126" s="23" t="str">
        <f t="shared" si="17"/>
        <v>IDB010</v>
      </c>
      <c r="C126" s="31" t="s">
        <v>241</v>
      </c>
      <c r="D126" s="92">
        <v>46082</v>
      </c>
      <c r="E126" s="92">
        <v>46142</v>
      </c>
      <c r="F126" s="96"/>
      <c r="G126" s="92"/>
      <c r="H126" s="93"/>
    </row>
    <row r="127" spans="2:8" ht="18" customHeight="1" x14ac:dyDescent="0.35">
      <c r="B127" s="23" t="str">
        <f t="shared" si="17"/>
        <v>IDB010</v>
      </c>
      <c r="C127" s="31" t="s">
        <v>242</v>
      </c>
      <c r="D127" s="92">
        <v>46127</v>
      </c>
      <c r="E127" s="92">
        <v>46157</v>
      </c>
      <c r="F127" s="96"/>
      <c r="G127" s="92"/>
      <c r="H127" s="93"/>
    </row>
    <row r="128" spans="2:8" ht="18" customHeight="1" x14ac:dyDescent="0.35">
      <c r="B128" s="23" t="str">
        <f t="shared" si="17"/>
        <v>IDB010</v>
      </c>
      <c r="C128" s="31" t="s">
        <v>243</v>
      </c>
      <c r="D128" s="92">
        <v>46143</v>
      </c>
      <c r="E128" s="92">
        <v>46173</v>
      </c>
      <c r="F128" s="96"/>
      <c r="G128" s="92"/>
      <c r="H128" s="93"/>
    </row>
    <row r="129" spans="2:8" ht="18" customHeight="1" x14ac:dyDescent="0.35">
      <c r="B129" s="23" t="str">
        <f t="shared" si="17"/>
        <v>IDB010</v>
      </c>
      <c r="C129" s="31" t="s">
        <v>244</v>
      </c>
      <c r="D129" s="92">
        <v>46174</v>
      </c>
      <c r="E129" s="92">
        <v>46188</v>
      </c>
      <c r="F129" s="96"/>
      <c r="G129" s="92"/>
      <c r="H129" s="93"/>
    </row>
    <row r="130" spans="2:8" ht="18" customHeight="1" x14ac:dyDescent="0.35">
      <c r="B130" s="23" t="str">
        <f t="shared" si="17"/>
        <v>IDB010</v>
      </c>
      <c r="C130" s="76" t="s">
        <v>245</v>
      </c>
      <c r="D130" s="94">
        <v>46189</v>
      </c>
      <c r="E130" s="94">
        <v>46203</v>
      </c>
      <c r="F130" s="97"/>
      <c r="G130" s="94"/>
      <c r="H130" s="93"/>
    </row>
    <row r="131" spans="2:8" ht="18" customHeight="1" x14ac:dyDescent="0.35">
      <c r="B131" s="23" t="str">
        <f>"IDB"&amp;TEXT(ROW(A$11),"000")</f>
        <v>IDB011</v>
      </c>
      <c r="C131" s="20" t="s">
        <v>239</v>
      </c>
      <c r="D131" s="92">
        <v>46023</v>
      </c>
      <c r="E131" s="92">
        <v>46053</v>
      </c>
      <c r="F131" s="96">
        <v>46027</v>
      </c>
      <c r="G131" s="92">
        <v>46042</v>
      </c>
      <c r="H131" s="93"/>
    </row>
    <row r="132" spans="2:8" ht="18" customHeight="1" x14ac:dyDescent="0.35">
      <c r="B132" s="23" t="str">
        <f t="shared" ref="B132:B137" si="18">"IDB"&amp;TEXT(ROW(A$11),"000")</f>
        <v>IDB011</v>
      </c>
      <c r="C132" s="20" t="s">
        <v>240</v>
      </c>
      <c r="D132" s="92">
        <v>46037</v>
      </c>
      <c r="E132" s="92">
        <v>46068</v>
      </c>
      <c r="F132" s="96">
        <v>46043</v>
      </c>
      <c r="G132" s="92">
        <v>46058</v>
      </c>
      <c r="H132" s="93"/>
    </row>
    <row r="133" spans="2:8" ht="18" customHeight="1" x14ac:dyDescent="0.35">
      <c r="B133" s="23" t="str">
        <f t="shared" si="18"/>
        <v>IDB011</v>
      </c>
      <c r="C133" s="31" t="s">
        <v>241</v>
      </c>
      <c r="D133" s="92">
        <v>46054</v>
      </c>
      <c r="E133" s="92">
        <v>46142</v>
      </c>
      <c r="F133" s="96">
        <v>46059</v>
      </c>
      <c r="G133" s="92">
        <v>46127</v>
      </c>
      <c r="H133" s="93"/>
    </row>
    <row r="134" spans="2:8" ht="18" customHeight="1" x14ac:dyDescent="0.35">
      <c r="B134" s="23" t="str">
        <f t="shared" si="18"/>
        <v>IDB011</v>
      </c>
      <c r="C134" s="31" t="s">
        <v>242</v>
      </c>
      <c r="D134" s="92">
        <v>46127</v>
      </c>
      <c r="E134" s="92">
        <v>46157</v>
      </c>
      <c r="F134" s="96"/>
      <c r="G134" s="92"/>
      <c r="H134" s="93"/>
    </row>
    <row r="135" spans="2:8" ht="18" customHeight="1" x14ac:dyDescent="0.35">
      <c r="B135" s="23" t="str">
        <f t="shared" si="18"/>
        <v>IDB011</v>
      </c>
      <c r="C135" s="31" t="s">
        <v>243</v>
      </c>
      <c r="D135" s="92">
        <v>46143</v>
      </c>
      <c r="E135" s="92">
        <v>46173</v>
      </c>
      <c r="F135" s="96"/>
      <c r="G135" s="92"/>
      <c r="H135" s="93"/>
    </row>
    <row r="136" spans="2:8" ht="18" customHeight="1" x14ac:dyDescent="0.35">
      <c r="B136" s="23" t="str">
        <f t="shared" si="18"/>
        <v>IDB011</v>
      </c>
      <c r="C136" s="31" t="s">
        <v>244</v>
      </c>
      <c r="D136" s="92">
        <v>46174</v>
      </c>
      <c r="E136" s="92">
        <v>46188</v>
      </c>
      <c r="F136" s="96"/>
      <c r="G136" s="92"/>
      <c r="H136" s="93"/>
    </row>
    <row r="137" spans="2:8" ht="18" customHeight="1" x14ac:dyDescent="0.35">
      <c r="B137" s="23" t="str">
        <f t="shared" si="18"/>
        <v>IDB011</v>
      </c>
      <c r="C137" s="76" t="s">
        <v>245</v>
      </c>
      <c r="D137" s="92">
        <v>46189</v>
      </c>
      <c r="E137" s="92">
        <v>46203</v>
      </c>
      <c r="F137" s="96"/>
      <c r="G137" s="92"/>
      <c r="H137" s="93"/>
    </row>
    <row r="138" spans="2:8" ht="18" customHeight="1" x14ac:dyDescent="0.35">
      <c r="B138" s="23" t="str">
        <f>"IDB"&amp;TEXT(ROW(A$12),"000")</f>
        <v>IDB012</v>
      </c>
      <c r="C138" s="20" t="s">
        <v>239</v>
      </c>
      <c r="D138" s="92">
        <v>46023</v>
      </c>
      <c r="E138" s="92">
        <v>46053</v>
      </c>
      <c r="F138" s="96">
        <v>46027</v>
      </c>
      <c r="G138" s="92">
        <v>46042</v>
      </c>
      <c r="H138" s="93"/>
    </row>
    <row r="139" spans="2:8" ht="18" customHeight="1" x14ac:dyDescent="0.35">
      <c r="B139" s="23" t="str">
        <f t="shared" ref="B139:B144" si="19">"IDB"&amp;TEXT(ROW(A$12),"000")</f>
        <v>IDB012</v>
      </c>
      <c r="C139" s="20" t="s">
        <v>240</v>
      </c>
      <c r="D139" s="92">
        <v>46037</v>
      </c>
      <c r="E139" s="92">
        <v>46068</v>
      </c>
      <c r="F139" s="96">
        <v>46043</v>
      </c>
      <c r="G139" s="92">
        <v>46058</v>
      </c>
      <c r="H139" s="93"/>
    </row>
    <row r="140" spans="2:8" ht="18" customHeight="1" x14ac:dyDescent="0.35">
      <c r="B140" s="23" t="str">
        <f t="shared" si="19"/>
        <v>IDB012</v>
      </c>
      <c r="C140" s="31" t="s">
        <v>241</v>
      </c>
      <c r="D140" s="92">
        <v>46054</v>
      </c>
      <c r="E140" s="92">
        <v>46142</v>
      </c>
      <c r="F140" s="96">
        <v>46059</v>
      </c>
      <c r="G140" s="92">
        <v>46127</v>
      </c>
      <c r="H140" s="93"/>
    </row>
    <row r="141" spans="2:8" ht="18" customHeight="1" x14ac:dyDescent="0.35">
      <c r="B141" s="23" t="str">
        <f t="shared" si="19"/>
        <v>IDB012</v>
      </c>
      <c r="C141" s="31" t="s">
        <v>242</v>
      </c>
      <c r="D141" s="92">
        <v>46127</v>
      </c>
      <c r="E141" s="92">
        <v>46157</v>
      </c>
      <c r="F141" s="96">
        <v>46128</v>
      </c>
      <c r="G141" s="92">
        <v>46142</v>
      </c>
      <c r="H141" s="93"/>
    </row>
    <row r="142" spans="2:8" ht="18" customHeight="1" x14ac:dyDescent="0.35">
      <c r="B142" s="23" t="str">
        <f t="shared" si="19"/>
        <v>IDB012</v>
      </c>
      <c r="C142" s="31" t="s">
        <v>243</v>
      </c>
      <c r="D142" s="92">
        <v>46143</v>
      </c>
      <c r="E142" s="92">
        <v>46173</v>
      </c>
      <c r="F142" s="96">
        <v>46143</v>
      </c>
      <c r="G142" s="92">
        <v>46173</v>
      </c>
      <c r="H142" s="93"/>
    </row>
    <row r="143" spans="2:8" ht="18" customHeight="1" x14ac:dyDescent="0.35">
      <c r="B143" s="23" t="str">
        <f t="shared" si="19"/>
        <v>IDB012</v>
      </c>
      <c r="C143" s="31" t="s">
        <v>244</v>
      </c>
      <c r="D143" s="92">
        <v>46174</v>
      </c>
      <c r="E143" s="92">
        <v>46188</v>
      </c>
      <c r="F143" s="96">
        <v>46174</v>
      </c>
      <c r="G143" s="92">
        <v>46275</v>
      </c>
      <c r="H143" s="93"/>
    </row>
    <row r="144" spans="2:8" ht="18" customHeight="1" x14ac:dyDescent="0.35">
      <c r="B144" s="23" t="str">
        <f t="shared" si="19"/>
        <v>IDB012</v>
      </c>
      <c r="C144" s="76" t="s">
        <v>245</v>
      </c>
      <c r="D144" s="92">
        <v>46189</v>
      </c>
      <c r="E144" s="92">
        <v>46203</v>
      </c>
      <c r="F144" s="96"/>
      <c r="G144" s="92"/>
      <c r="H144" s="93"/>
    </row>
    <row r="145" spans="2:8" ht="18" customHeight="1" x14ac:dyDescent="0.35">
      <c r="B145" s="23" t="str">
        <f>"IDB"&amp;TEXT(ROW(A$13),"000")</f>
        <v>IDB013</v>
      </c>
      <c r="C145" s="20" t="s">
        <v>239</v>
      </c>
      <c r="D145" s="92">
        <v>46054</v>
      </c>
      <c r="E145" s="92">
        <v>46081</v>
      </c>
      <c r="F145" s="96">
        <v>46091</v>
      </c>
      <c r="G145" s="92">
        <v>46101</v>
      </c>
      <c r="H145" s="93"/>
    </row>
    <row r="146" spans="2:8" ht="18" customHeight="1" x14ac:dyDescent="0.35">
      <c r="B146" s="23" t="str">
        <f t="shared" ref="B146:B151" si="20">"IDB"&amp;TEXT(ROW(A$13),"000")</f>
        <v>IDB013</v>
      </c>
      <c r="C146" s="20" t="s">
        <v>240</v>
      </c>
      <c r="D146" s="92">
        <v>46068</v>
      </c>
      <c r="E146" s="92">
        <v>46112</v>
      </c>
      <c r="F146" s="96">
        <v>46102</v>
      </c>
      <c r="G146" s="92">
        <v>46112</v>
      </c>
      <c r="H146" s="93"/>
    </row>
    <row r="147" spans="2:8" ht="18" customHeight="1" x14ac:dyDescent="0.35">
      <c r="B147" s="23" t="str">
        <f t="shared" si="20"/>
        <v>IDB013</v>
      </c>
      <c r="C147" s="31" t="s">
        <v>241</v>
      </c>
      <c r="D147" s="92">
        <v>46082</v>
      </c>
      <c r="E147" s="92">
        <v>46142</v>
      </c>
      <c r="F147" s="96">
        <v>46113</v>
      </c>
      <c r="G147" s="92">
        <v>46142</v>
      </c>
      <c r="H147" s="93"/>
    </row>
    <row r="148" spans="2:8" ht="18" customHeight="1" x14ac:dyDescent="0.35">
      <c r="B148" s="23" t="str">
        <f t="shared" si="20"/>
        <v>IDB013</v>
      </c>
      <c r="C148" s="31" t="s">
        <v>242</v>
      </c>
      <c r="D148" s="92">
        <v>46127</v>
      </c>
      <c r="E148" s="92">
        <v>46157</v>
      </c>
      <c r="F148" s="96">
        <v>46143</v>
      </c>
      <c r="G148" s="92">
        <v>46157</v>
      </c>
      <c r="H148" s="93"/>
    </row>
    <row r="149" spans="2:8" ht="18" customHeight="1" x14ac:dyDescent="0.35">
      <c r="B149" s="23" t="str">
        <f t="shared" si="20"/>
        <v>IDB013</v>
      </c>
      <c r="C149" s="31" t="s">
        <v>243</v>
      </c>
      <c r="D149" s="92">
        <v>46143</v>
      </c>
      <c r="E149" s="92">
        <v>46173</v>
      </c>
      <c r="F149" s="96">
        <v>46158</v>
      </c>
      <c r="G149" s="92">
        <v>46173</v>
      </c>
      <c r="H149" s="93"/>
    </row>
    <row r="150" spans="2:8" ht="18" customHeight="1" x14ac:dyDescent="0.35">
      <c r="B150" s="23" t="str">
        <f t="shared" si="20"/>
        <v>IDB013</v>
      </c>
      <c r="C150" s="31" t="s">
        <v>244</v>
      </c>
      <c r="D150" s="92">
        <v>46174</v>
      </c>
      <c r="E150" s="92">
        <v>46188</v>
      </c>
      <c r="F150" s="96">
        <v>46174</v>
      </c>
      <c r="G150" s="92">
        <v>46183</v>
      </c>
      <c r="H150" s="93"/>
    </row>
    <row r="151" spans="2:8" ht="18" customHeight="1" x14ac:dyDescent="0.35">
      <c r="B151" s="23" t="str">
        <f t="shared" si="20"/>
        <v>IDB013</v>
      </c>
      <c r="C151" s="76" t="s">
        <v>245</v>
      </c>
      <c r="D151" s="94">
        <v>46189</v>
      </c>
      <c r="E151" s="94">
        <v>46203</v>
      </c>
      <c r="F151" s="97">
        <v>46184</v>
      </c>
      <c r="G151" s="94">
        <v>46203</v>
      </c>
      <c r="H151" s="93"/>
    </row>
    <row r="152" spans="2:8" ht="18" customHeight="1" x14ac:dyDescent="0.35">
      <c r="B152" s="23" t="str">
        <f>"IDB"&amp;TEXT(ROW(A$14),"000")</f>
        <v>IDB014</v>
      </c>
      <c r="C152" s="20" t="s">
        <v>239</v>
      </c>
      <c r="D152" s="92">
        <v>46174</v>
      </c>
      <c r="E152" s="92">
        <v>46203</v>
      </c>
      <c r="F152" s="96"/>
      <c r="G152" s="92"/>
      <c r="H152" s="93"/>
    </row>
    <row r="153" spans="2:8" ht="18" customHeight="1" x14ac:dyDescent="0.35">
      <c r="B153" s="23" t="str">
        <f t="shared" ref="B153:B158" si="21">"IDB"&amp;TEXT(ROW(A$14),"000")</f>
        <v>IDB014</v>
      </c>
      <c r="C153" s="20" t="s">
        <v>240</v>
      </c>
      <c r="D153" s="92">
        <v>46188</v>
      </c>
      <c r="E153" s="92">
        <v>46218</v>
      </c>
      <c r="F153" s="96"/>
      <c r="G153" s="92"/>
      <c r="H153" s="93"/>
    </row>
    <row r="154" spans="2:8" ht="18" customHeight="1" x14ac:dyDescent="0.35">
      <c r="B154" s="23" t="str">
        <f t="shared" si="21"/>
        <v>IDB014</v>
      </c>
      <c r="C154" s="31" t="s">
        <v>241</v>
      </c>
      <c r="D154" s="92">
        <v>46204</v>
      </c>
      <c r="E154" s="92">
        <v>46249</v>
      </c>
      <c r="F154" s="96"/>
      <c r="G154" s="92"/>
      <c r="H154" s="93"/>
    </row>
    <row r="155" spans="2:8" ht="18" customHeight="1" x14ac:dyDescent="0.35">
      <c r="B155" s="23" t="str">
        <f t="shared" si="21"/>
        <v>IDB014</v>
      </c>
      <c r="C155" s="31" t="s">
        <v>242</v>
      </c>
      <c r="D155" s="92">
        <v>46235</v>
      </c>
      <c r="E155" s="92">
        <v>46249</v>
      </c>
      <c r="F155" s="96"/>
      <c r="G155" s="92"/>
      <c r="H155" s="93"/>
    </row>
    <row r="156" spans="2:8" ht="18" customHeight="1" x14ac:dyDescent="0.35">
      <c r="B156" s="23" t="str">
        <f t="shared" si="21"/>
        <v>IDB014</v>
      </c>
      <c r="C156" s="31" t="s">
        <v>243</v>
      </c>
      <c r="D156" s="92">
        <v>46250</v>
      </c>
      <c r="E156" s="92">
        <v>46264</v>
      </c>
      <c r="F156" s="96"/>
      <c r="G156" s="92"/>
      <c r="H156" s="93"/>
    </row>
    <row r="157" spans="2:8" ht="18" customHeight="1" x14ac:dyDescent="0.35">
      <c r="B157" s="23" t="str">
        <f t="shared" si="21"/>
        <v>IDB014</v>
      </c>
      <c r="C157" s="31" t="s">
        <v>244</v>
      </c>
      <c r="D157" s="92">
        <v>46266</v>
      </c>
      <c r="E157" s="92">
        <v>46280</v>
      </c>
      <c r="F157" s="96"/>
      <c r="G157" s="92"/>
      <c r="H157" s="93"/>
    </row>
    <row r="158" spans="2:8" ht="18" customHeight="1" x14ac:dyDescent="0.35">
      <c r="B158" s="23" t="str">
        <f t="shared" si="21"/>
        <v>IDB014</v>
      </c>
      <c r="C158" s="76" t="s">
        <v>245</v>
      </c>
      <c r="D158" s="94">
        <v>46281</v>
      </c>
      <c r="E158" s="94">
        <v>46295</v>
      </c>
      <c r="F158" s="97"/>
      <c r="G158" s="94"/>
      <c r="H158" s="93"/>
    </row>
    <row r="159" spans="2:8" ht="18" customHeight="1" x14ac:dyDescent="0.35">
      <c r="B159" s="23" t="str">
        <f>"IDB"&amp;TEXT(ROW(A$15),"000")</f>
        <v>IDB015</v>
      </c>
      <c r="C159" s="20" t="s">
        <v>239</v>
      </c>
      <c r="D159" s="92">
        <v>46054</v>
      </c>
      <c r="E159" s="92">
        <v>46081</v>
      </c>
      <c r="F159" s="96"/>
      <c r="G159" s="92"/>
      <c r="H159" s="93"/>
    </row>
    <row r="160" spans="2:8" ht="18" customHeight="1" x14ac:dyDescent="0.35">
      <c r="B160" s="23" t="str">
        <f t="shared" ref="B160:B165" si="22">"IDB"&amp;TEXT(ROW(A$15),"000")</f>
        <v>IDB015</v>
      </c>
      <c r="C160" s="20" t="s">
        <v>240</v>
      </c>
      <c r="D160" s="92">
        <v>46068</v>
      </c>
      <c r="E160" s="92">
        <v>46112</v>
      </c>
      <c r="F160" s="96"/>
      <c r="G160" s="92"/>
      <c r="H160" s="93"/>
    </row>
    <row r="161" spans="2:8" ht="18" customHeight="1" x14ac:dyDescent="0.35">
      <c r="B161" s="23" t="str">
        <f t="shared" si="22"/>
        <v>IDB015</v>
      </c>
      <c r="C161" s="31" t="s">
        <v>241</v>
      </c>
      <c r="D161" s="92">
        <v>46082</v>
      </c>
      <c r="E161" s="92">
        <v>46142</v>
      </c>
      <c r="F161" s="96"/>
      <c r="G161" s="92"/>
      <c r="H161" s="93"/>
    </row>
    <row r="162" spans="2:8" ht="18" customHeight="1" x14ac:dyDescent="0.35">
      <c r="B162" s="23" t="str">
        <f t="shared" si="22"/>
        <v>IDB015</v>
      </c>
      <c r="C162" s="31" t="s">
        <v>242</v>
      </c>
      <c r="D162" s="92">
        <v>46127</v>
      </c>
      <c r="E162" s="92">
        <v>46157</v>
      </c>
      <c r="F162" s="96"/>
      <c r="G162" s="92"/>
      <c r="H162" s="93"/>
    </row>
    <row r="163" spans="2:8" ht="18" customHeight="1" x14ac:dyDescent="0.35">
      <c r="B163" s="23" t="str">
        <f t="shared" si="22"/>
        <v>IDB015</v>
      </c>
      <c r="C163" s="31" t="s">
        <v>243</v>
      </c>
      <c r="D163" s="92">
        <v>46143</v>
      </c>
      <c r="E163" s="92">
        <v>46173</v>
      </c>
      <c r="F163" s="96"/>
      <c r="G163" s="92"/>
      <c r="H163" s="93"/>
    </row>
    <row r="164" spans="2:8" ht="18" customHeight="1" x14ac:dyDescent="0.35">
      <c r="B164" s="23" t="str">
        <f t="shared" si="22"/>
        <v>IDB015</v>
      </c>
      <c r="C164" s="31" t="s">
        <v>244</v>
      </c>
      <c r="D164" s="92">
        <v>46174</v>
      </c>
      <c r="E164" s="92">
        <v>46188</v>
      </c>
      <c r="F164" s="96"/>
      <c r="G164" s="92"/>
      <c r="H164" s="93"/>
    </row>
    <row r="165" spans="2:8" ht="18" customHeight="1" x14ac:dyDescent="0.35">
      <c r="B165" s="23" t="str">
        <f t="shared" si="22"/>
        <v>IDB015</v>
      </c>
      <c r="C165" s="76" t="s">
        <v>245</v>
      </c>
      <c r="D165" s="94">
        <v>46189</v>
      </c>
      <c r="E165" s="94">
        <v>46203</v>
      </c>
      <c r="F165" s="97"/>
      <c r="G165" s="94"/>
      <c r="H165" s="93"/>
    </row>
    <row r="166" spans="2:8" ht="18" customHeight="1" x14ac:dyDescent="0.35">
      <c r="B166" s="23" t="str">
        <f>"IDB"&amp;TEXT(ROW(A$16),"000")</f>
        <v>IDB016</v>
      </c>
      <c r="C166" s="20" t="s">
        <v>239</v>
      </c>
      <c r="D166" s="92">
        <v>46266</v>
      </c>
      <c r="E166" s="92">
        <v>46295</v>
      </c>
      <c r="F166" s="96"/>
      <c r="G166" s="92"/>
      <c r="H166" s="93"/>
    </row>
    <row r="167" spans="2:8" ht="18" customHeight="1" x14ac:dyDescent="0.35">
      <c r="B167" s="23" t="str">
        <f t="shared" ref="B167:B172" si="23">"IDB"&amp;TEXT(ROW(A$16),"000")</f>
        <v>IDB016</v>
      </c>
      <c r="C167" s="20" t="s">
        <v>240</v>
      </c>
      <c r="D167" s="92">
        <v>46280</v>
      </c>
      <c r="E167" s="92">
        <v>46310</v>
      </c>
      <c r="F167" s="96"/>
      <c r="G167" s="92"/>
      <c r="H167" s="93"/>
    </row>
    <row r="168" spans="2:8" ht="18" customHeight="1" x14ac:dyDescent="0.35">
      <c r="B168" s="23" t="str">
        <f t="shared" si="23"/>
        <v>IDB016</v>
      </c>
      <c r="C168" s="31" t="s">
        <v>241</v>
      </c>
      <c r="D168" s="92">
        <v>46296</v>
      </c>
      <c r="E168" s="92">
        <v>46341</v>
      </c>
      <c r="F168" s="96"/>
      <c r="G168" s="92"/>
      <c r="H168" s="93"/>
    </row>
    <row r="169" spans="2:8" ht="18" customHeight="1" x14ac:dyDescent="0.35">
      <c r="B169" s="23" t="str">
        <f t="shared" si="23"/>
        <v>IDB016</v>
      </c>
      <c r="C169" s="31" t="s">
        <v>242</v>
      </c>
      <c r="D169" s="92">
        <v>46327</v>
      </c>
      <c r="E169" s="92">
        <v>46341</v>
      </c>
      <c r="F169" s="96"/>
      <c r="G169" s="92"/>
      <c r="H169" s="93"/>
    </row>
    <row r="170" spans="2:8" ht="18" customHeight="1" x14ac:dyDescent="0.35">
      <c r="B170" s="23" t="str">
        <f t="shared" si="23"/>
        <v>IDB016</v>
      </c>
      <c r="C170" s="31" t="s">
        <v>243</v>
      </c>
      <c r="D170" s="92">
        <v>46342</v>
      </c>
      <c r="E170" s="92">
        <v>46356</v>
      </c>
      <c r="F170" s="96"/>
      <c r="G170" s="92"/>
      <c r="H170" s="93"/>
    </row>
    <row r="171" spans="2:8" ht="18" customHeight="1" x14ac:dyDescent="0.35">
      <c r="B171" s="23" t="str">
        <f t="shared" si="23"/>
        <v>IDB016</v>
      </c>
      <c r="C171" s="31" t="s">
        <v>244</v>
      </c>
      <c r="D171" s="92">
        <v>46357</v>
      </c>
      <c r="E171" s="92">
        <v>46371</v>
      </c>
      <c r="F171" s="96"/>
      <c r="G171" s="92"/>
      <c r="H171" s="93"/>
    </row>
    <row r="172" spans="2:8" ht="18" customHeight="1" x14ac:dyDescent="0.35">
      <c r="B172" s="23" t="str">
        <f t="shared" si="23"/>
        <v>IDB016</v>
      </c>
      <c r="C172" s="76" t="s">
        <v>245</v>
      </c>
      <c r="D172" s="94">
        <v>46372</v>
      </c>
      <c r="E172" s="94">
        <v>46387</v>
      </c>
      <c r="F172" s="97"/>
      <c r="G172" s="94"/>
      <c r="H172" s="93"/>
    </row>
    <row r="173" spans="2:8" ht="18" customHeight="1" x14ac:dyDescent="0.35">
      <c r="B173" s="23" t="str">
        <f>"IDB"&amp;TEXT(ROW(A$17),"000")</f>
        <v>IDB017</v>
      </c>
      <c r="C173" s="20" t="s">
        <v>239</v>
      </c>
      <c r="D173" s="92">
        <v>45962</v>
      </c>
      <c r="E173" s="92">
        <v>45991</v>
      </c>
      <c r="F173" s="96">
        <v>45971</v>
      </c>
      <c r="G173" s="92">
        <v>45981</v>
      </c>
      <c r="H173" s="93"/>
    </row>
    <row r="174" spans="2:8" ht="18" customHeight="1" x14ac:dyDescent="0.35">
      <c r="B174" s="23" t="str">
        <f t="shared" ref="B174:B179" si="24">"IDB"&amp;TEXT(ROW(A$17),"000")</f>
        <v>IDB017</v>
      </c>
      <c r="C174" s="20" t="s">
        <v>240</v>
      </c>
      <c r="D174" s="92">
        <v>45976</v>
      </c>
      <c r="E174" s="92">
        <v>46022</v>
      </c>
      <c r="F174" s="96">
        <v>45982</v>
      </c>
      <c r="G174" s="92">
        <v>46001</v>
      </c>
      <c r="H174" s="93"/>
    </row>
    <row r="175" spans="2:8" ht="18" customHeight="1" x14ac:dyDescent="0.35">
      <c r="B175" s="23" t="str">
        <f t="shared" si="24"/>
        <v>IDB017</v>
      </c>
      <c r="C175" s="31" t="s">
        <v>241</v>
      </c>
      <c r="D175" s="92">
        <v>45992</v>
      </c>
      <c r="E175" s="92">
        <v>46053</v>
      </c>
      <c r="F175" s="96">
        <v>46002</v>
      </c>
      <c r="G175" s="92">
        <v>46053</v>
      </c>
      <c r="H175" s="93"/>
    </row>
    <row r="176" spans="2:8" ht="18" customHeight="1" x14ac:dyDescent="0.35">
      <c r="B176" s="23" t="str">
        <f t="shared" si="24"/>
        <v>IDB017</v>
      </c>
      <c r="C176" s="31" t="s">
        <v>242</v>
      </c>
      <c r="D176" s="92">
        <v>46037</v>
      </c>
      <c r="E176" s="92">
        <v>46068</v>
      </c>
      <c r="F176" s="96">
        <v>46054</v>
      </c>
      <c r="G176" s="92">
        <v>46068</v>
      </c>
      <c r="H176" s="93"/>
    </row>
    <row r="177" spans="2:8" ht="18" customHeight="1" x14ac:dyDescent="0.35">
      <c r="B177" s="23" t="str">
        <f t="shared" si="24"/>
        <v>IDB017</v>
      </c>
      <c r="C177" s="31" t="s">
        <v>243</v>
      </c>
      <c r="D177" s="92">
        <v>46054</v>
      </c>
      <c r="E177" s="92">
        <v>46081</v>
      </c>
      <c r="F177" s="96">
        <v>46069</v>
      </c>
      <c r="G177" s="92">
        <v>46081</v>
      </c>
      <c r="H177" s="93"/>
    </row>
    <row r="178" spans="2:8" ht="18" customHeight="1" x14ac:dyDescent="0.35">
      <c r="B178" s="23" t="str">
        <f t="shared" si="24"/>
        <v>IDB017</v>
      </c>
      <c r="C178" s="31" t="s">
        <v>244</v>
      </c>
      <c r="D178" s="92">
        <v>46082</v>
      </c>
      <c r="E178" s="92">
        <v>46096</v>
      </c>
      <c r="F178" s="96">
        <v>46082</v>
      </c>
      <c r="G178" s="92">
        <v>46091</v>
      </c>
      <c r="H178" s="93"/>
    </row>
    <row r="179" spans="2:8" ht="18" customHeight="1" x14ac:dyDescent="0.35">
      <c r="B179" s="23" t="str">
        <f t="shared" si="24"/>
        <v>IDB017</v>
      </c>
      <c r="C179" s="76" t="s">
        <v>245</v>
      </c>
      <c r="D179" s="94">
        <v>46097</v>
      </c>
      <c r="E179" s="94">
        <v>46112</v>
      </c>
      <c r="F179" s="97">
        <v>46092</v>
      </c>
      <c r="G179" s="94">
        <v>46106</v>
      </c>
      <c r="H179" s="93"/>
    </row>
    <row r="180" spans="2:8" ht="18" customHeight="1" x14ac:dyDescent="0.35">
      <c r="B180" s="23" t="str">
        <f>"IDB"&amp;TEXT(ROW(A$18),"000")</f>
        <v>IDB018</v>
      </c>
      <c r="C180" s="20" t="s">
        <v>239</v>
      </c>
      <c r="D180" s="92">
        <v>46174</v>
      </c>
      <c r="E180" s="92">
        <v>46203</v>
      </c>
      <c r="F180" s="96"/>
      <c r="G180" s="92"/>
      <c r="H180" s="93"/>
    </row>
    <row r="181" spans="2:8" ht="18" customHeight="1" x14ac:dyDescent="0.35">
      <c r="B181" s="23" t="str">
        <f t="shared" ref="B181:B186" si="25">"IDB"&amp;TEXT(ROW(A$18),"000")</f>
        <v>IDB018</v>
      </c>
      <c r="C181" s="20" t="s">
        <v>240</v>
      </c>
      <c r="D181" s="92">
        <v>46188</v>
      </c>
      <c r="E181" s="92">
        <v>46218</v>
      </c>
      <c r="F181" s="96"/>
      <c r="G181" s="92"/>
      <c r="H181" s="93"/>
    </row>
    <row r="182" spans="2:8" ht="18" customHeight="1" x14ac:dyDescent="0.35">
      <c r="B182" s="23" t="str">
        <f t="shared" si="25"/>
        <v>IDB018</v>
      </c>
      <c r="C182" s="31" t="s">
        <v>241</v>
      </c>
      <c r="D182" s="92">
        <v>46204</v>
      </c>
      <c r="E182" s="92">
        <v>46249</v>
      </c>
      <c r="F182" s="96"/>
      <c r="G182" s="92"/>
      <c r="H182" s="93"/>
    </row>
    <row r="183" spans="2:8" ht="18" customHeight="1" x14ac:dyDescent="0.35">
      <c r="B183" s="23" t="str">
        <f t="shared" si="25"/>
        <v>IDB018</v>
      </c>
      <c r="C183" s="31" t="s">
        <v>242</v>
      </c>
      <c r="D183" s="92">
        <v>46235</v>
      </c>
      <c r="E183" s="92">
        <v>46249</v>
      </c>
      <c r="F183" s="96"/>
      <c r="G183" s="92"/>
      <c r="H183" s="93"/>
    </row>
    <row r="184" spans="2:8" ht="18" customHeight="1" x14ac:dyDescent="0.35">
      <c r="B184" s="23" t="str">
        <f t="shared" si="25"/>
        <v>IDB018</v>
      </c>
      <c r="C184" s="31" t="s">
        <v>243</v>
      </c>
      <c r="D184" s="92">
        <v>46250</v>
      </c>
      <c r="E184" s="92">
        <v>46264</v>
      </c>
      <c r="F184" s="96"/>
      <c r="G184" s="92"/>
      <c r="H184" s="93"/>
    </row>
    <row r="185" spans="2:8" ht="18" customHeight="1" x14ac:dyDescent="0.35">
      <c r="B185" s="23" t="str">
        <f t="shared" si="25"/>
        <v>IDB018</v>
      </c>
      <c r="C185" s="31" t="s">
        <v>244</v>
      </c>
      <c r="D185" s="92">
        <v>46266</v>
      </c>
      <c r="E185" s="92">
        <v>46280</v>
      </c>
      <c r="F185" s="96"/>
      <c r="G185" s="92"/>
      <c r="H185" s="93"/>
    </row>
    <row r="186" spans="2:8" ht="18" customHeight="1" x14ac:dyDescent="0.35">
      <c r="B186" s="23" t="str">
        <f t="shared" si="25"/>
        <v>IDB018</v>
      </c>
      <c r="C186" s="76" t="s">
        <v>245</v>
      </c>
      <c r="D186" s="94">
        <v>46281</v>
      </c>
      <c r="E186" s="94">
        <v>46295</v>
      </c>
      <c r="F186" s="97"/>
      <c r="G186" s="94"/>
      <c r="H186" s="93"/>
    </row>
    <row r="187" spans="2:8" ht="18" customHeight="1" x14ac:dyDescent="0.35">
      <c r="B187" s="23" t="str">
        <f t="shared" ref="B187:B193" si="26">"IDB"&amp;TEXT(ROW(A$19),"000")</f>
        <v>IDB019</v>
      </c>
      <c r="C187" s="20" t="s">
        <v>239</v>
      </c>
      <c r="D187" s="92">
        <v>46174</v>
      </c>
      <c r="E187" s="92">
        <v>46203</v>
      </c>
      <c r="F187" s="96"/>
      <c r="G187" s="92"/>
      <c r="H187" s="93"/>
    </row>
    <row r="188" spans="2:8" ht="18" customHeight="1" x14ac:dyDescent="0.35">
      <c r="B188" s="23" t="str">
        <f t="shared" si="26"/>
        <v>IDB019</v>
      </c>
      <c r="C188" s="20" t="s">
        <v>240</v>
      </c>
      <c r="D188" s="92">
        <v>46188</v>
      </c>
      <c r="E188" s="92">
        <v>46218</v>
      </c>
      <c r="F188" s="96"/>
      <c r="G188" s="92"/>
      <c r="H188" s="93"/>
    </row>
    <row r="189" spans="2:8" ht="18" customHeight="1" x14ac:dyDescent="0.35">
      <c r="B189" s="23" t="str">
        <f t="shared" si="26"/>
        <v>IDB019</v>
      </c>
      <c r="C189" s="31" t="s">
        <v>241</v>
      </c>
      <c r="D189" s="92">
        <v>46204</v>
      </c>
      <c r="E189" s="92">
        <v>46249</v>
      </c>
      <c r="F189" s="96"/>
      <c r="G189" s="92"/>
      <c r="H189" s="93"/>
    </row>
    <row r="190" spans="2:8" ht="18" customHeight="1" x14ac:dyDescent="0.35">
      <c r="B190" s="23" t="str">
        <f t="shared" si="26"/>
        <v>IDB019</v>
      </c>
      <c r="C190" s="31" t="s">
        <v>242</v>
      </c>
      <c r="D190" s="92">
        <v>46235</v>
      </c>
      <c r="E190" s="92">
        <v>46249</v>
      </c>
      <c r="F190" s="96"/>
      <c r="G190" s="92"/>
      <c r="H190" s="93"/>
    </row>
    <row r="191" spans="2:8" ht="18" customHeight="1" x14ac:dyDescent="0.35">
      <c r="B191" s="23" t="str">
        <f t="shared" si="26"/>
        <v>IDB019</v>
      </c>
      <c r="C191" s="31" t="s">
        <v>243</v>
      </c>
      <c r="D191" s="92">
        <v>46250</v>
      </c>
      <c r="E191" s="92">
        <v>46264</v>
      </c>
      <c r="F191" s="96"/>
      <c r="G191" s="92"/>
      <c r="H191" s="93"/>
    </row>
    <row r="192" spans="2:8" ht="18" customHeight="1" x14ac:dyDescent="0.35">
      <c r="B192" s="23" t="str">
        <f t="shared" si="26"/>
        <v>IDB019</v>
      </c>
      <c r="C192" s="31" t="s">
        <v>244</v>
      </c>
      <c r="D192" s="92">
        <v>46266</v>
      </c>
      <c r="E192" s="92">
        <v>46280</v>
      </c>
      <c r="F192" s="96"/>
      <c r="G192" s="92"/>
      <c r="H192" s="93"/>
    </row>
    <row r="193" spans="2:8" ht="18" customHeight="1" x14ac:dyDescent="0.35">
      <c r="B193" s="23" t="str">
        <f t="shared" si="26"/>
        <v>IDB019</v>
      </c>
      <c r="C193" s="78" t="s">
        <v>245</v>
      </c>
      <c r="D193" s="94">
        <v>46281</v>
      </c>
      <c r="E193" s="94">
        <v>46295</v>
      </c>
      <c r="F193" s="97"/>
      <c r="G193" s="94"/>
      <c r="H193" s="93"/>
    </row>
    <row r="194" spans="2:8" ht="18" customHeight="1" x14ac:dyDescent="0.35">
      <c r="B194" s="23" t="str">
        <f>"IDE"&amp;TEXT(ROW(A$1),"000")</f>
        <v>IDE001</v>
      </c>
      <c r="C194" s="81" t="s">
        <v>239</v>
      </c>
      <c r="D194" s="107">
        <v>46266</v>
      </c>
      <c r="E194" s="107">
        <v>46280</v>
      </c>
      <c r="F194" s="107"/>
      <c r="G194" s="107"/>
      <c r="H194" s="108"/>
    </row>
    <row r="195" spans="2:8" ht="18" customHeight="1" x14ac:dyDescent="0.35">
      <c r="B195" s="23" t="str">
        <f t="shared" ref="B195:B200" si="27">"IDE"&amp;TEXT(ROW(A$1),"000")</f>
        <v>IDE001</v>
      </c>
      <c r="C195" s="33" t="s">
        <v>240</v>
      </c>
      <c r="D195" s="107">
        <v>46275</v>
      </c>
      <c r="E195" s="107">
        <v>46295</v>
      </c>
      <c r="F195" s="107"/>
      <c r="G195" s="107"/>
      <c r="H195" s="108"/>
    </row>
    <row r="196" spans="2:8" ht="18" customHeight="1" x14ac:dyDescent="0.35">
      <c r="B196" s="23" t="str">
        <f t="shared" si="27"/>
        <v>IDE001</v>
      </c>
      <c r="C196" s="82" t="s">
        <v>241</v>
      </c>
      <c r="D196" s="107">
        <v>46296</v>
      </c>
      <c r="E196" s="107">
        <v>46326</v>
      </c>
      <c r="F196" s="107"/>
      <c r="G196" s="107"/>
      <c r="H196" s="108"/>
    </row>
    <row r="197" spans="2:8" ht="18" customHeight="1" x14ac:dyDescent="0.35">
      <c r="B197" s="23" t="str">
        <f t="shared" si="27"/>
        <v>IDE001</v>
      </c>
      <c r="C197" s="82" t="s">
        <v>242</v>
      </c>
      <c r="D197" s="107">
        <v>46315</v>
      </c>
      <c r="E197" s="107">
        <v>46336</v>
      </c>
      <c r="F197" s="107"/>
      <c r="G197" s="107"/>
      <c r="H197" s="108"/>
    </row>
    <row r="198" spans="2:8" ht="18" customHeight="1" x14ac:dyDescent="0.35">
      <c r="B198" s="23" t="str">
        <f t="shared" si="27"/>
        <v>IDE001</v>
      </c>
      <c r="C198" s="82" t="s">
        <v>243</v>
      </c>
      <c r="D198" s="107">
        <v>46327</v>
      </c>
      <c r="E198" s="107">
        <v>46346</v>
      </c>
      <c r="F198" s="107"/>
      <c r="G198" s="107"/>
      <c r="H198" s="108"/>
    </row>
    <row r="199" spans="2:8" ht="18" customHeight="1" x14ac:dyDescent="0.35">
      <c r="B199" s="23" t="str">
        <f t="shared" si="27"/>
        <v>IDE001</v>
      </c>
      <c r="C199" s="82" t="s">
        <v>244</v>
      </c>
      <c r="D199" s="107">
        <v>46347</v>
      </c>
      <c r="E199" s="107">
        <v>46366</v>
      </c>
      <c r="F199" s="107"/>
      <c r="G199" s="107"/>
      <c r="H199" s="108"/>
    </row>
    <row r="200" spans="2:8" ht="18" customHeight="1" x14ac:dyDescent="0.35">
      <c r="B200" s="23" t="str">
        <f t="shared" si="27"/>
        <v>IDE001</v>
      </c>
      <c r="C200" s="83" t="s">
        <v>245</v>
      </c>
      <c r="D200" s="107">
        <v>46367</v>
      </c>
      <c r="E200" s="107">
        <v>46387</v>
      </c>
      <c r="F200" s="107"/>
      <c r="G200" s="107"/>
      <c r="H200" s="108"/>
    </row>
    <row r="201" spans="2:8" ht="18" customHeight="1" x14ac:dyDescent="0.35">
      <c r="B201" s="23" t="str">
        <f>"IDE"&amp;TEXT(ROW(A$2),"000")</f>
        <v>IDE002</v>
      </c>
      <c r="C201" s="33" t="s">
        <v>239</v>
      </c>
      <c r="D201" s="107">
        <v>46266</v>
      </c>
      <c r="E201" s="107">
        <v>46280</v>
      </c>
      <c r="F201" s="107"/>
      <c r="G201" s="107"/>
      <c r="H201" s="108"/>
    </row>
    <row r="202" spans="2:8" ht="18" customHeight="1" x14ac:dyDescent="0.35">
      <c r="B202" s="23" t="str">
        <f t="shared" ref="B202:B207" si="28">"IDE"&amp;TEXT(ROW(A$2),"000")</f>
        <v>IDE002</v>
      </c>
      <c r="C202" s="33" t="s">
        <v>240</v>
      </c>
      <c r="D202" s="107">
        <v>46275</v>
      </c>
      <c r="E202" s="107">
        <v>46295</v>
      </c>
      <c r="F202" s="107"/>
      <c r="G202" s="107"/>
      <c r="H202" s="108"/>
    </row>
    <row r="203" spans="2:8" ht="18" customHeight="1" x14ac:dyDescent="0.35">
      <c r="B203" s="23" t="str">
        <f t="shared" si="28"/>
        <v>IDE002</v>
      </c>
      <c r="C203" s="82" t="s">
        <v>241</v>
      </c>
      <c r="D203" s="107">
        <v>46296</v>
      </c>
      <c r="E203" s="107">
        <v>46326</v>
      </c>
      <c r="F203" s="107"/>
      <c r="G203" s="107"/>
      <c r="H203" s="108"/>
    </row>
    <row r="204" spans="2:8" ht="18" customHeight="1" x14ac:dyDescent="0.35">
      <c r="B204" s="23" t="str">
        <f t="shared" si="28"/>
        <v>IDE002</v>
      </c>
      <c r="C204" s="82" t="s">
        <v>242</v>
      </c>
      <c r="D204" s="107">
        <v>46315</v>
      </c>
      <c r="E204" s="107">
        <v>46336</v>
      </c>
      <c r="F204" s="107"/>
      <c r="G204" s="107"/>
      <c r="H204" s="108"/>
    </row>
    <row r="205" spans="2:8" ht="18" customHeight="1" x14ac:dyDescent="0.35">
      <c r="B205" s="23" t="str">
        <f t="shared" si="28"/>
        <v>IDE002</v>
      </c>
      <c r="C205" s="82" t="s">
        <v>243</v>
      </c>
      <c r="D205" s="107">
        <v>46327</v>
      </c>
      <c r="E205" s="107">
        <v>46346</v>
      </c>
      <c r="F205" s="107"/>
      <c r="G205" s="107"/>
      <c r="H205" s="108"/>
    </row>
    <row r="206" spans="2:8" ht="18" customHeight="1" x14ac:dyDescent="0.35">
      <c r="B206" s="23" t="str">
        <f t="shared" si="28"/>
        <v>IDE002</v>
      </c>
      <c r="C206" s="82" t="s">
        <v>244</v>
      </c>
      <c r="D206" s="107">
        <v>46347</v>
      </c>
      <c r="E206" s="107">
        <v>46366</v>
      </c>
      <c r="F206" s="107"/>
      <c r="G206" s="107"/>
      <c r="H206" s="108"/>
    </row>
    <row r="207" spans="2:8" ht="18" customHeight="1" x14ac:dyDescent="0.35">
      <c r="B207" s="23" t="str">
        <f t="shared" si="28"/>
        <v>IDE002</v>
      </c>
      <c r="C207" s="83" t="s">
        <v>245</v>
      </c>
      <c r="D207" s="107">
        <v>46367</v>
      </c>
      <c r="E207" s="107">
        <v>46387</v>
      </c>
      <c r="F207" s="107"/>
      <c r="G207" s="107"/>
      <c r="H207" s="108"/>
    </row>
    <row r="208" spans="2:8" ht="18" customHeight="1" x14ac:dyDescent="0.35">
      <c r="B208" s="23" t="str">
        <f>"IDE"&amp;TEXT(ROW(A$3),"000")</f>
        <v>IDE003</v>
      </c>
      <c r="C208" s="33" t="s">
        <v>239</v>
      </c>
      <c r="D208" s="107">
        <v>46082</v>
      </c>
      <c r="E208" s="107">
        <v>46096</v>
      </c>
      <c r="F208" s="107"/>
      <c r="G208" s="107"/>
      <c r="H208" s="108"/>
    </row>
    <row r="209" spans="2:8" ht="18" customHeight="1" x14ac:dyDescent="0.35">
      <c r="B209" s="23" t="str">
        <f t="shared" ref="B209:B214" si="29">"IDE"&amp;TEXT(ROW(A$3),"000")</f>
        <v>IDE003</v>
      </c>
      <c r="C209" s="33" t="s">
        <v>240</v>
      </c>
      <c r="D209" s="107">
        <v>46091</v>
      </c>
      <c r="E209" s="107">
        <v>46112</v>
      </c>
      <c r="F209" s="107"/>
      <c r="G209" s="107"/>
      <c r="H209" s="108"/>
    </row>
    <row r="210" spans="2:8" ht="18" customHeight="1" x14ac:dyDescent="0.35">
      <c r="B210" s="23" t="str">
        <f t="shared" si="29"/>
        <v>IDE003</v>
      </c>
      <c r="C210" s="82" t="s">
        <v>241</v>
      </c>
      <c r="D210" s="107">
        <v>46113</v>
      </c>
      <c r="E210" s="107">
        <v>46142</v>
      </c>
      <c r="F210" s="107"/>
      <c r="G210" s="107"/>
      <c r="H210" s="108"/>
    </row>
    <row r="211" spans="2:8" ht="18" customHeight="1" x14ac:dyDescent="0.35">
      <c r="B211" s="23" t="str">
        <f t="shared" si="29"/>
        <v>IDE003</v>
      </c>
      <c r="C211" s="82" t="s">
        <v>242</v>
      </c>
      <c r="D211" s="107">
        <v>46127</v>
      </c>
      <c r="E211" s="107">
        <v>46157</v>
      </c>
      <c r="F211" s="107"/>
      <c r="G211" s="107"/>
      <c r="H211" s="108"/>
    </row>
    <row r="212" spans="2:8" ht="18" customHeight="1" x14ac:dyDescent="0.35">
      <c r="B212" s="23" t="str">
        <f t="shared" si="29"/>
        <v>IDE003</v>
      </c>
      <c r="C212" s="82" t="s">
        <v>243</v>
      </c>
      <c r="D212" s="107">
        <v>46143</v>
      </c>
      <c r="E212" s="107">
        <v>46173</v>
      </c>
      <c r="F212" s="107"/>
      <c r="G212" s="107"/>
      <c r="H212" s="108"/>
    </row>
    <row r="213" spans="2:8" ht="18" customHeight="1" x14ac:dyDescent="0.35">
      <c r="B213" s="23" t="str">
        <f t="shared" si="29"/>
        <v>IDE003</v>
      </c>
      <c r="C213" s="82" t="s">
        <v>244</v>
      </c>
      <c r="D213" s="107">
        <v>46174</v>
      </c>
      <c r="E213" s="107">
        <v>46188</v>
      </c>
      <c r="F213" s="107"/>
      <c r="G213" s="107"/>
      <c r="H213" s="108"/>
    </row>
    <row r="214" spans="2:8" ht="18" customHeight="1" x14ac:dyDescent="0.35">
      <c r="B214" s="23" t="str">
        <f t="shared" si="29"/>
        <v>IDE003</v>
      </c>
      <c r="C214" s="83" t="s">
        <v>245</v>
      </c>
      <c r="D214" s="107">
        <v>46189</v>
      </c>
      <c r="E214" s="107">
        <v>46203</v>
      </c>
      <c r="F214" s="107"/>
      <c r="G214" s="107"/>
      <c r="H214" s="108"/>
    </row>
    <row r="215" spans="2:8" ht="18" customHeight="1" x14ac:dyDescent="0.35">
      <c r="B215" s="23" t="str">
        <f>"IDE"&amp;TEXT(ROW(A$4),"000")</f>
        <v>IDE004</v>
      </c>
      <c r="C215" s="33" t="s">
        <v>239</v>
      </c>
      <c r="D215" s="107">
        <v>46082</v>
      </c>
      <c r="E215" s="107">
        <v>46096</v>
      </c>
      <c r="F215" s="107"/>
      <c r="G215" s="107"/>
      <c r="H215" s="108"/>
    </row>
    <row r="216" spans="2:8" ht="18" customHeight="1" x14ac:dyDescent="0.35">
      <c r="B216" s="23" t="str">
        <f t="shared" ref="B216:B221" si="30">"IDE"&amp;TEXT(ROW(A$4),"000")</f>
        <v>IDE004</v>
      </c>
      <c r="C216" s="33" t="s">
        <v>240</v>
      </c>
      <c r="D216" s="107">
        <v>46091</v>
      </c>
      <c r="E216" s="107">
        <v>46112</v>
      </c>
      <c r="F216" s="107"/>
      <c r="G216" s="107"/>
      <c r="H216" s="108"/>
    </row>
    <row r="217" spans="2:8" ht="18" customHeight="1" x14ac:dyDescent="0.35">
      <c r="B217" s="23" t="str">
        <f t="shared" si="30"/>
        <v>IDE004</v>
      </c>
      <c r="C217" s="82" t="s">
        <v>241</v>
      </c>
      <c r="D217" s="107">
        <v>46113</v>
      </c>
      <c r="E217" s="107">
        <v>46142</v>
      </c>
      <c r="F217" s="107"/>
      <c r="G217" s="107"/>
      <c r="H217" s="108"/>
    </row>
    <row r="218" spans="2:8" ht="18" customHeight="1" x14ac:dyDescent="0.35">
      <c r="B218" s="23" t="str">
        <f t="shared" si="30"/>
        <v>IDE004</v>
      </c>
      <c r="C218" s="82" t="s">
        <v>242</v>
      </c>
      <c r="D218" s="107">
        <v>46127</v>
      </c>
      <c r="E218" s="107">
        <v>46157</v>
      </c>
      <c r="F218" s="107"/>
      <c r="G218" s="107"/>
      <c r="H218" s="108"/>
    </row>
    <row r="219" spans="2:8" ht="18" customHeight="1" x14ac:dyDescent="0.35">
      <c r="B219" s="23" t="str">
        <f t="shared" si="30"/>
        <v>IDE004</v>
      </c>
      <c r="C219" s="82" t="s">
        <v>243</v>
      </c>
      <c r="D219" s="107">
        <v>46143</v>
      </c>
      <c r="E219" s="107">
        <v>46173</v>
      </c>
      <c r="F219" s="107"/>
      <c r="G219" s="107"/>
      <c r="H219" s="108"/>
    </row>
    <row r="220" spans="2:8" ht="18" customHeight="1" x14ac:dyDescent="0.35">
      <c r="B220" s="23" t="str">
        <f t="shared" si="30"/>
        <v>IDE004</v>
      </c>
      <c r="C220" s="82" t="s">
        <v>244</v>
      </c>
      <c r="D220" s="107">
        <v>46174</v>
      </c>
      <c r="E220" s="107">
        <v>46188</v>
      </c>
      <c r="F220" s="107"/>
      <c r="G220" s="107"/>
      <c r="H220" s="108"/>
    </row>
    <row r="221" spans="2:8" ht="18" customHeight="1" x14ac:dyDescent="0.35">
      <c r="B221" s="23" t="str">
        <f t="shared" si="30"/>
        <v>IDE004</v>
      </c>
      <c r="C221" s="83" t="s">
        <v>245</v>
      </c>
      <c r="D221" s="107">
        <v>46189</v>
      </c>
      <c r="E221" s="107">
        <v>46203</v>
      </c>
      <c r="F221" s="107"/>
      <c r="G221" s="107"/>
      <c r="H221" s="108"/>
    </row>
    <row r="222" spans="2:8" ht="18" customHeight="1" x14ac:dyDescent="0.35">
      <c r="B222" s="23" t="str">
        <f>"IDE"&amp;TEXT(ROW(A$5),"000")</f>
        <v>IDE005</v>
      </c>
      <c r="C222" s="33" t="s">
        <v>239</v>
      </c>
      <c r="D222" s="107">
        <v>46082</v>
      </c>
      <c r="E222" s="107">
        <v>46096</v>
      </c>
      <c r="F222" s="107"/>
      <c r="G222" s="107"/>
      <c r="H222" s="108"/>
    </row>
    <row r="223" spans="2:8" ht="18" customHeight="1" x14ac:dyDescent="0.35">
      <c r="B223" s="23" t="str">
        <f t="shared" ref="B223:B228" si="31">"IDE"&amp;TEXT(ROW(A$5),"000")</f>
        <v>IDE005</v>
      </c>
      <c r="C223" s="33" t="s">
        <v>240</v>
      </c>
      <c r="D223" s="107">
        <v>46091</v>
      </c>
      <c r="E223" s="107">
        <v>46112</v>
      </c>
      <c r="F223" s="107"/>
      <c r="G223" s="107"/>
      <c r="H223" s="108"/>
    </row>
    <row r="224" spans="2:8" ht="18" customHeight="1" x14ac:dyDescent="0.35">
      <c r="B224" s="23" t="str">
        <f t="shared" si="31"/>
        <v>IDE005</v>
      </c>
      <c r="C224" s="82" t="s">
        <v>241</v>
      </c>
      <c r="D224" s="107">
        <v>46113</v>
      </c>
      <c r="E224" s="107">
        <v>46142</v>
      </c>
      <c r="F224" s="107"/>
      <c r="G224" s="107"/>
      <c r="H224" s="108"/>
    </row>
    <row r="225" spans="2:8" ht="18" customHeight="1" x14ac:dyDescent="0.35">
      <c r="B225" s="23" t="str">
        <f t="shared" si="31"/>
        <v>IDE005</v>
      </c>
      <c r="C225" s="82" t="s">
        <v>242</v>
      </c>
      <c r="D225" s="107">
        <v>46127</v>
      </c>
      <c r="E225" s="107">
        <v>46157</v>
      </c>
      <c r="F225" s="107"/>
      <c r="G225" s="107"/>
      <c r="H225" s="108"/>
    </row>
    <row r="226" spans="2:8" ht="18" customHeight="1" x14ac:dyDescent="0.35">
      <c r="B226" s="23" t="str">
        <f t="shared" si="31"/>
        <v>IDE005</v>
      </c>
      <c r="C226" s="82" t="s">
        <v>243</v>
      </c>
      <c r="D226" s="107">
        <v>46143</v>
      </c>
      <c r="E226" s="107">
        <v>46173</v>
      </c>
      <c r="F226" s="107"/>
      <c r="G226" s="107"/>
      <c r="H226" s="108"/>
    </row>
    <row r="227" spans="2:8" ht="18" customHeight="1" x14ac:dyDescent="0.35">
      <c r="B227" s="23" t="str">
        <f t="shared" si="31"/>
        <v>IDE005</v>
      </c>
      <c r="C227" s="82" t="s">
        <v>244</v>
      </c>
      <c r="D227" s="107">
        <v>46174</v>
      </c>
      <c r="E227" s="107">
        <v>46188</v>
      </c>
      <c r="F227" s="107"/>
      <c r="G227" s="107"/>
      <c r="H227" s="108"/>
    </row>
    <row r="228" spans="2:8" ht="18" customHeight="1" x14ac:dyDescent="0.35">
      <c r="B228" s="23" t="str">
        <f t="shared" si="31"/>
        <v>IDE005</v>
      </c>
      <c r="C228" s="83" t="s">
        <v>245</v>
      </c>
      <c r="D228" s="107">
        <v>46189</v>
      </c>
      <c r="E228" s="107">
        <v>46203</v>
      </c>
      <c r="F228" s="107"/>
      <c r="G228" s="107"/>
      <c r="H228" s="108"/>
    </row>
    <row r="229" spans="2:8" ht="18" customHeight="1" x14ac:dyDescent="0.35">
      <c r="B229" s="23" t="str">
        <f>"IDE"&amp;TEXT(ROW(A$6),"000")</f>
        <v>IDE006</v>
      </c>
      <c r="C229" s="33" t="s">
        <v>239</v>
      </c>
      <c r="D229" s="107">
        <v>46082</v>
      </c>
      <c r="E229" s="107">
        <v>46096</v>
      </c>
      <c r="F229" s="107"/>
      <c r="G229" s="107"/>
      <c r="H229" s="108"/>
    </row>
    <row r="230" spans="2:8" ht="18" customHeight="1" x14ac:dyDescent="0.35">
      <c r="B230" s="23" t="str">
        <f t="shared" ref="B230:B235" si="32">"IDE"&amp;TEXT(ROW(A$6),"000")</f>
        <v>IDE006</v>
      </c>
      <c r="C230" s="33" t="s">
        <v>240</v>
      </c>
      <c r="D230" s="107">
        <v>46091</v>
      </c>
      <c r="E230" s="107">
        <v>46112</v>
      </c>
      <c r="F230" s="107"/>
      <c r="G230" s="107"/>
      <c r="H230" s="108"/>
    </row>
    <row r="231" spans="2:8" ht="18" customHeight="1" x14ac:dyDescent="0.35">
      <c r="B231" s="23" t="str">
        <f t="shared" si="32"/>
        <v>IDE006</v>
      </c>
      <c r="C231" s="82" t="s">
        <v>241</v>
      </c>
      <c r="D231" s="107">
        <v>46113</v>
      </c>
      <c r="E231" s="107">
        <v>46142</v>
      </c>
      <c r="F231" s="107"/>
      <c r="G231" s="107"/>
      <c r="H231" s="108"/>
    </row>
    <row r="232" spans="2:8" ht="18" customHeight="1" x14ac:dyDescent="0.35">
      <c r="B232" s="23" t="str">
        <f t="shared" si="32"/>
        <v>IDE006</v>
      </c>
      <c r="C232" s="82" t="s">
        <v>242</v>
      </c>
      <c r="D232" s="107">
        <v>46127</v>
      </c>
      <c r="E232" s="107">
        <v>46157</v>
      </c>
      <c r="F232" s="107"/>
      <c r="G232" s="107"/>
      <c r="H232" s="108"/>
    </row>
    <row r="233" spans="2:8" ht="18" customHeight="1" x14ac:dyDescent="0.35">
      <c r="B233" s="23" t="str">
        <f t="shared" si="32"/>
        <v>IDE006</v>
      </c>
      <c r="C233" s="82" t="s">
        <v>243</v>
      </c>
      <c r="D233" s="107">
        <v>46143</v>
      </c>
      <c r="E233" s="107">
        <v>46173</v>
      </c>
      <c r="F233" s="107"/>
      <c r="G233" s="107"/>
      <c r="H233" s="108"/>
    </row>
    <row r="234" spans="2:8" ht="18" customHeight="1" x14ac:dyDescent="0.35">
      <c r="B234" s="23" t="str">
        <f t="shared" si="32"/>
        <v>IDE006</v>
      </c>
      <c r="C234" s="82" t="s">
        <v>244</v>
      </c>
      <c r="D234" s="107">
        <v>46174</v>
      </c>
      <c r="E234" s="107">
        <v>46188</v>
      </c>
      <c r="F234" s="107"/>
      <c r="G234" s="107"/>
      <c r="H234" s="108"/>
    </row>
    <row r="235" spans="2:8" ht="18" customHeight="1" x14ac:dyDescent="0.35">
      <c r="B235" s="23" t="str">
        <f t="shared" si="32"/>
        <v>IDE006</v>
      </c>
      <c r="C235" s="83" t="s">
        <v>245</v>
      </c>
      <c r="D235" s="107">
        <v>46189</v>
      </c>
      <c r="E235" s="107">
        <v>46203</v>
      </c>
      <c r="F235" s="107"/>
      <c r="G235" s="107"/>
      <c r="H235" s="108"/>
    </row>
    <row r="236" spans="2:8" ht="18" customHeight="1" x14ac:dyDescent="0.35">
      <c r="B236" s="23" t="str">
        <f>"IDE"&amp;TEXT(ROW(A$7),"000")</f>
        <v>IDE007</v>
      </c>
      <c r="C236" s="33" t="s">
        <v>239</v>
      </c>
      <c r="D236" s="107">
        <v>46174</v>
      </c>
      <c r="E236" s="107">
        <v>46188</v>
      </c>
      <c r="F236" s="107"/>
      <c r="G236" s="107"/>
      <c r="H236" s="108"/>
    </row>
    <row r="237" spans="2:8" ht="18" customHeight="1" x14ac:dyDescent="0.35">
      <c r="B237" s="23" t="str">
        <f t="shared" ref="B237:B242" si="33">"IDE"&amp;TEXT(ROW(A$7),"000")</f>
        <v>IDE007</v>
      </c>
      <c r="C237" s="33" t="s">
        <v>240</v>
      </c>
      <c r="D237" s="107">
        <v>46183</v>
      </c>
      <c r="E237" s="107">
        <v>46203</v>
      </c>
      <c r="F237" s="107"/>
      <c r="G237" s="107"/>
      <c r="H237" s="108"/>
    </row>
    <row r="238" spans="2:8" ht="18" customHeight="1" x14ac:dyDescent="0.35">
      <c r="B238" s="23" t="str">
        <f t="shared" si="33"/>
        <v>IDE007</v>
      </c>
      <c r="C238" s="82" t="s">
        <v>241</v>
      </c>
      <c r="D238" s="107">
        <v>46204</v>
      </c>
      <c r="E238" s="107">
        <v>46234</v>
      </c>
      <c r="F238" s="107"/>
      <c r="G238" s="107"/>
      <c r="H238" s="108"/>
    </row>
    <row r="239" spans="2:8" ht="18" customHeight="1" x14ac:dyDescent="0.35">
      <c r="B239" s="23" t="str">
        <f t="shared" si="33"/>
        <v>IDE007</v>
      </c>
      <c r="C239" s="82" t="s">
        <v>242</v>
      </c>
      <c r="D239" s="107">
        <v>46218</v>
      </c>
      <c r="E239" s="107">
        <v>46234</v>
      </c>
      <c r="F239" s="107"/>
      <c r="G239" s="107"/>
      <c r="H239" s="108"/>
    </row>
    <row r="240" spans="2:8" ht="18" customHeight="1" x14ac:dyDescent="0.35">
      <c r="B240" s="23" t="str">
        <f t="shared" si="33"/>
        <v>IDE007</v>
      </c>
      <c r="C240" s="82" t="s">
        <v>243</v>
      </c>
      <c r="D240" s="107">
        <v>46235</v>
      </c>
      <c r="E240" s="107">
        <v>46265</v>
      </c>
      <c r="F240" s="107"/>
      <c r="G240" s="107"/>
      <c r="H240" s="108"/>
    </row>
    <row r="241" spans="2:8" ht="18" customHeight="1" x14ac:dyDescent="0.35">
      <c r="B241" s="23" t="str">
        <f t="shared" si="33"/>
        <v>IDE007</v>
      </c>
      <c r="C241" s="82" t="s">
        <v>244</v>
      </c>
      <c r="D241" s="107">
        <v>46266</v>
      </c>
      <c r="E241" s="107">
        <v>46280</v>
      </c>
      <c r="F241" s="107"/>
      <c r="G241" s="107"/>
      <c r="H241" s="108"/>
    </row>
    <row r="242" spans="2:8" ht="18" customHeight="1" x14ac:dyDescent="0.35">
      <c r="B242" s="23" t="str">
        <f t="shared" si="33"/>
        <v>IDE007</v>
      </c>
      <c r="C242" s="83" t="s">
        <v>245</v>
      </c>
      <c r="D242" s="107">
        <v>46281</v>
      </c>
      <c r="E242" s="107">
        <v>46295</v>
      </c>
      <c r="F242" s="107"/>
      <c r="G242" s="107"/>
      <c r="H242" s="108"/>
    </row>
    <row r="243" spans="2:8" ht="18" customHeight="1" x14ac:dyDescent="0.35">
      <c r="B243" s="23" t="str">
        <f>"IDE"&amp;TEXT(ROW(A$8),"000")</f>
        <v>IDE008</v>
      </c>
      <c r="C243" s="33" t="s">
        <v>239</v>
      </c>
      <c r="D243" s="107">
        <v>46174</v>
      </c>
      <c r="E243" s="107">
        <v>46188</v>
      </c>
      <c r="F243" s="107"/>
      <c r="G243" s="107"/>
      <c r="H243" s="108"/>
    </row>
    <row r="244" spans="2:8" ht="18" customHeight="1" x14ac:dyDescent="0.35">
      <c r="B244" s="23" t="str">
        <f t="shared" ref="B244:B249" si="34">"IDE"&amp;TEXT(ROW(A$8),"000")</f>
        <v>IDE008</v>
      </c>
      <c r="C244" s="33" t="s">
        <v>240</v>
      </c>
      <c r="D244" s="107">
        <v>46183</v>
      </c>
      <c r="E244" s="107">
        <v>46203</v>
      </c>
      <c r="F244" s="107"/>
      <c r="G244" s="107"/>
      <c r="H244" s="108"/>
    </row>
    <row r="245" spans="2:8" ht="18" customHeight="1" x14ac:dyDescent="0.35">
      <c r="B245" s="23" t="str">
        <f t="shared" si="34"/>
        <v>IDE008</v>
      </c>
      <c r="C245" s="82" t="s">
        <v>241</v>
      </c>
      <c r="D245" s="107">
        <v>46204</v>
      </c>
      <c r="E245" s="107">
        <v>46234</v>
      </c>
      <c r="F245" s="107"/>
      <c r="G245" s="107"/>
      <c r="H245" s="108"/>
    </row>
    <row r="246" spans="2:8" ht="18" customHeight="1" x14ac:dyDescent="0.35">
      <c r="B246" s="23" t="str">
        <f t="shared" si="34"/>
        <v>IDE008</v>
      </c>
      <c r="C246" s="82" t="s">
        <v>242</v>
      </c>
      <c r="D246" s="107">
        <v>46218</v>
      </c>
      <c r="E246" s="107">
        <v>46234</v>
      </c>
      <c r="F246" s="107"/>
      <c r="G246" s="107"/>
      <c r="H246" s="108"/>
    </row>
    <row r="247" spans="2:8" ht="18" customHeight="1" x14ac:dyDescent="0.35">
      <c r="B247" s="23" t="str">
        <f t="shared" si="34"/>
        <v>IDE008</v>
      </c>
      <c r="C247" s="82" t="s">
        <v>243</v>
      </c>
      <c r="D247" s="107">
        <v>46235</v>
      </c>
      <c r="E247" s="107">
        <v>46265</v>
      </c>
      <c r="F247" s="107"/>
      <c r="G247" s="107"/>
      <c r="H247" s="108"/>
    </row>
    <row r="248" spans="2:8" ht="18" customHeight="1" x14ac:dyDescent="0.35">
      <c r="B248" s="23" t="str">
        <f t="shared" si="34"/>
        <v>IDE008</v>
      </c>
      <c r="C248" s="82" t="s">
        <v>244</v>
      </c>
      <c r="D248" s="107">
        <v>46266</v>
      </c>
      <c r="E248" s="107">
        <v>46280</v>
      </c>
      <c r="F248" s="107"/>
      <c r="G248" s="107"/>
      <c r="H248" s="108"/>
    </row>
    <row r="249" spans="2:8" ht="18" customHeight="1" x14ac:dyDescent="0.35">
      <c r="B249" s="23" t="str">
        <f t="shared" si="34"/>
        <v>IDE008</v>
      </c>
      <c r="C249" s="83" t="s">
        <v>245</v>
      </c>
      <c r="D249" s="107">
        <v>46281</v>
      </c>
      <c r="E249" s="107">
        <v>46295</v>
      </c>
      <c r="F249" s="107"/>
      <c r="G249" s="107"/>
      <c r="H249" s="108"/>
    </row>
    <row r="250" spans="2:8" ht="18" customHeight="1" x14ac:dyDescent="0.35">
      <c r="B250" s="23" t="str">
        <f>"IDE"&amp;TEXT(ROW(A$9),"000")</f>
        <v>IDE009</v>
      </c>
      <c r="C250" s="33" t="s">
        <v>239</v>
      </c>
      <c r="D250" s="107">
        <v>46174</v>
      </c>
      <c r="E250" s="107">
        <v>46188</v>
      </c>
      <c r="F250" s="107"/>
      <c r="G250" s="107"/>
      <c r="H250" s="108"/>
    </row>
    <row r="251" spans="2:8" ht="18" customHeight="1" x14ac:dyDescent="0.35">
      <c r="B251" s="23" t="str">
        <f t="shared" ref="B251:B256" si="35">"IDE"&amp;TEXT(ROW(A$9),"000")</f>
        <v>IDE009</v>
      </c>
      <c r="C251" s="33" t="s">
        <v>240</v>
      </c>
      <c r="D251" s="107">
        <v>46183</v>
      </c>
      <c r="E251" s="107">
        <v>46203</v>
      </c>
      <c r="F251" s="107"/>
      <c r="G251" s="107"/>
      <c r="H251" s="108"/>
    </row>
    <row r="252" spans="2:8" ht="18" customHeight="1" x14ac:dyDescent="0.35">
      <c r="B252" s="23" t="str">
        <f t="shared" si="35"/>
        <v>IDE009</v>
      </c>
      <c r="C252" s="82" t="s">
        <v>241</v>
      </c>
      <c r="D252" s="107">
        <v>46204</v>
      </c>
      <c r="E252" s="107">
        <v>46234</v>
      </c>
      <c r="F252" s="107"/>
      <c r="G252" s="107"/>
      <c r="H252" s="108"/>
    </row>
    <row r="253" spans="2:8" ht="18" customHeight="1" x14ac:dyDescent="0.35">
      <c r="B253" s="23" t="str">
        <f t="shared" si="35"/>
        <v>IDE009</v>
      </c>
      <c r="C253" s="82" t="s">
        <v>242</v>
      </c>
      <c r="D253" s="107">
        <v>46218</v>
      </c>
      <c r="E253" s="107">
        <v>46234</v>
      </c>
      <c r="F253" s="107"/>
      <c r="G253" s="107"/>
      <c r="H253" s="108"/>
    </row>
    <row r="254" spans="2:8" ht="18" customHeight="1" x14ac:dyDescent="0.35">
      <c r="B254" s="23" t="str">
        <f t="shared" si="35"/>
        <v>IDE009</v>
      </c>
      <c r="C254" s="82" t="s">
        <v>243</v>
      </c>
      <c r="D254" s="107">
        <v>46235</v>
      </c>
      <c r="E254" s="107">
        <v>46265</v>
      </c>
      <c r="F254" s="107"/>
      <c r="G254" s="107"/>
      <c r="H254" s="108"/>
    </row>
    <row r="255" spans="2:8" ht="18" customHeight="1" x14ac:dyDescent="0.35">
      <c r="B255" s="23" t="str">
        <f t="shared" si="35"/>
        <v>IDE009</v>
      </c>
      <c r="C255" s="82" t="s">
        <v>244</v>
      </c>
      <c r="D255" s="107">
        <v>46266</v>
      </c>
      <c r="E255" s="107">
        <v>46280</v>
      </c>
      <c r="F255" s="107"/>
      <c r="G255" s="107"/>
      <c r="H255" s="108"/>
    </row>
    <row r="256" spans="2:8" ht="18" customHeight="1" x14ac:dyDescent="0.35">
      <c r="B256" s="23" t="str">
        <f t="shared" si="35"/>
        <v>IDE009</v>
      </c>
      <c r="C256" s="83" t="s">
        <v>245</v>
      </c>
      <c r="D256" s="107">
        <v>46281</v>
      </c>
      <c r="E256" s="107">
        <v>46295</v>
      </c>
      <c r="F256" s="107"/>
      <c r="G256" s="107"/>
      <c r="H256" s="108"/>
    </row>
    <row r="257" spans="2:8" ht="18" customHeight="1" x14ac:dyDescent="0.35">
      <c r="B257" s="23" t="str">
        <f>"IDE"&amp;TEXT(ROW(A$10),"000")</f>
        <v>IDE010</v>
      </c>
      <c r="C257" s="33" t="s">
        <v>239</v>
      </c>
      <c r="D257" s="107">
        <v>46082</v>
      </c>
      <c r="E257" s="107">
        <v>46096</v>
      </c>
      <c r="F257" s="107"/>
      <c r="G257" s="107"/>
      <c r="H257" s="108"/>
    </row>
    <row r="258" spans="2:8" ht="18" customHeight="1" x14ac:dyDescent="0.35">
      <c r="B258" s="23" t="str">
        <f t="shared" ref="B258:B263" si="36">"IDE"&amp;TEXT(ROW(A$10),"000")</f>
        <v>IDE010</v>
      </c>
      <c r="C258" s="33" t="s">
        <v>240</v>
      </c>
      <c r="D258" s="107">
        <v>46091</v>
      </c>
      <c r="E258" s="107">
        <v>46112</v>
      </c>
      <c r="F258" s="107"/>
      <c r="G258" s="107"/>
      <c r="H258" s="108"/>
    </row>
    <row r="259" spans="2:8" ht="18" customHeight="1" x14ac:dyDescent="0.35">
      <c r="B259" s="23" t="str">
        <f t="shared" si="36"/>
        <v>IDE010</v>
      </c>
      <c r="C259" s="82" t="s">
        <v>241</v>
      </c>
      <c r="D259" s="107">
        <v>46113</v>
      </c>
      <c r="E259" s="107">
        <v>46142</v>
      </c>
      <c r="F259" s="107"/>
      <c r="G259" s="107"/>
      <c r="H259" s="108"/>
    </row>
    <row r="260" spans="2:8" ht="18" customHeight="1" x14ac:dyDescent="0.35">
      <c r="B260" s="23" t="str">
        <f t="shared" si="36"/>
        <v>IDE010</v>
      </c>
      <c r="C260" s="82" t="s">
        <v>242</v>
      </c>
      <c r="D260" s="107">
        <v>46127</v>
      </c>
      <c r="E260" s="107">
        <v>46157</v>
      </c>
      <c r="F260" s="107"/>
      <c r="G260" s="107"/>
      <c r="H260" s="108"/>
    </row>
    <row r="261" spans="2:8" ht="18" customHeight="1" x14ac:dyDescent="0.35">
      <c r="B261" s="23" t="str">
        <f t="shared" si="36"/>
        <v>IDE010</v>
      </c>
      <c r="C261" s="82" t="s">
        <v>243</v>
      </c>
      <c r="D261" s="107">
        <v>46143</v>
      </c>
      <c r="E261" s="107">
        <v>46173</v>
      </c>
      <c r="F261" s="107"/>
      <c r="G261" s="107"/>
      <c r="H261" s="108"/>
    </row>
    <row r="262" spans="2:8" ht="18" customHeight="1" x14ac:dyDescent="0.35">
      <c r="B262" s="23" t="str">
        <f t="shared" si="36"/>
        <v>IDE010</v>
      </c>
      <c r="C262" s="82" t="s">
        <v>244</v>
      </c>
      <c r="D262" s="107">
        <v>46174</v>
      </c>
      <c r="E262" s="107">
        <v>46188</v>
      </c>
      <c r="F262" s="107"/>
      <c r="G262" s="107"/>
      <c r="H262" s="108"/>
    </row>
    <row r="263" spans="2:8" ht="18" customHeight="1" x14ac:dyDescent="0.35">
      <c r="B263" s="23" t="str">
        <f t="shared" si="36"/>
        <v>IDE010</v>
      </c>
      <c r="C263" s="83" t="s">
        <v>245</v>
      </c>
      <c r="D263" s="107">
        <v>46189</v>
      </c>
      <c r="E263" s="107">
        <v>46203</v>
      </c>
      <c r="F263" s="107"/>
      <c r="G263" s="107"/>
      <c r="H263" s="108"/>
    </row>
    <row r="264" spans="2:8" ht="18" customHeight="1" x14ac:dyDescent="0.35">
      <c r="B264" s="23" t="str">
        <f>"IDE"&amp;TEXT(ROW(A$11),"000")</f>
        <v>IDE011</v>
      </c>
      <c r="C264" s="33" t="s">
        <v>239</v>
      </c>
      <c r="D264" s="107">
        <v>46082</v>
      </c>
      <c r="E264" s="107">
        <v>46096</v>
      </c>
      <c r="F264" s="107"/>
      <c r="G264" s="107"/>
      <c r="H264" s="108"/>
    </row>
    <row r="265" spans="2:8" ht="18" customHeight="1" x14ac:dyDescent="0.35">
      <c r="B265" s="23" t="str">
        <f t="shared" ref="B265:B270" si="37">"IDE"&amp;TEXT(ROW(A$11),"000")</f>
        <v>IDE011</v>
      </c>
      <c r="C265" s="33" t="s">
        <v>240</v>
      </c>
      <c r="D265" s="107">
        <v>46091</v>
      </c>
      <c r="E265" s="107">
        <v>46112</v>
      </c>
      <c r="F265" s="107"/>
      <c r="G265" s="107"/>
      <c r="H265" s="108"/>
    </row>
    <row r="266" spans="2:8" ht="18" customHeight="1" x14ac:dyDescent="0.35">
      <c r="B266" s="23" t="str">
        <f t="shared" si="37"/>
        <v>IDE011</v>
      </c>
      <c r="C266" s="82" t="s">
        <v>241</v>
      </c>
      <c r="D266" s="107">
        <v>46113</v>
      </c>
      <c r="E266" s="107">
        <v>46142</v>
      </c>
      <c r="F266" s="107"/>
      <c r="G266" s="107"/>
      <c r="H266" s="108"/>
    </row>
    <row r="267" spans="2:8" ht="18" customHeight="1" x14ac:dyDescent="0.35">
      <c r="B267" s="23" t="str">
        <f t="shared" si="37"/>
        <v>IDE011</v>
      </c>
      <c r="C267" s="82" t="s">
        <v>242</v>
      </c>
      <c r="D267" s="107">
        <v>46127</v>
      </c>
      <c r="E267" s="107">
        <v>46157</v>
      </c>
      <c r="F267" s="107"/>
      <c r="G267" s="107"/>
      <c r="H267" s="108"/>
    </row>
    <row r="268" spans="2:8" ht="18" customHeight="1" x14ac:dyDescent="0.35">
      <c r="B268" s="23" t="str">
        <f t="shared" si="37"/>
        <v>IDE011</v>
      </c>
      <c r="C268" s="82" t="s">
        <v>243</v>
      </c>
      <c r="D268" s="107">
        <v>46143</v>
      </c>
      <c r="E268" s="107">
        <v>46173</v>
      </c>
      <c r="F268" s="107"/>
      <c r="G268" s="107"/>
      <c r="H268" s="108"/>
    </row>
    <row r="269" spans="2:8" ht="18" customHeight="1" x14ac:dyDescent="0.35">
      <c r="B269" s="23" t="str">
        <f t="shared" si="37"/>
        <v>IDE011</v>
      </c>
      <c r="C269" s="82" t="s">
        <v>244</v>
      </c>
      <c r="D269" s="107">
        <v>46174</v>
      </c>
      <c r="E269" s="107">
        <v>46188</v>
      </c>
      <c r="F269" s="107"/>
      <c r="G269" s="107"/>
      <c r="H269" s="108"/>
    </row>
    <row r="270" spans="2:8" ht="18" customHeight="1" x14ac:dyDescent="0.35">
      <c r="B270" s="23" t="str">
        <f t="shared" si="37"/>
        <v>IDE011</v>
      </c>
      <c r="C270" s="83" t="s">
        <v>245</v>
      </c>
      <c r="D270" s="107">
        <v>46189</v>
      </c>
      <c r="E270" s="107">
        <v>46203</v>
      </c>
      <c r="F270" s="107"/>
      <c r="G270" s="107"/>
      <c r="H270" s="108"/>
    </row>
    <row r="271" spans="2:8" ht="18" customHeight="1" x14ac:dyDescent="0.35">
      <c r="B271" s="23" t="str">
        <f>"IDE"&amp;TEXT(ROW(A$12),"000")</f>
        <v>IDE012</v>
      </c>
      <c r="C271" s="33" t="s">
        <v>239</v>
      </c>
      <c r="D271" s="107">
        <v>46174</v>
      </c>
      <c r="E271" s="107">
        <v>46188</v>
      </c>
      <c r="F271" s="107"/>
      <c r="G271" s="107"/>
      <c r="H271" s="108"/>
    </row>
    <row r="272" spans="2:8" ht="18" customHeight="1" x14ac:dyDescent="0.35">
      <c r="B272" s="23" t="str">
        <f t="shared" ref="B272:B277" si="38">"IDE"&amp;TEXT(ROW(A$12),"000")</f>
        <v>IDE012</v>
      </c>
      <c r="C272" s="33" t="s">
        <v>240</v>
      </c>
      <c r="D272" s="107">
        <v>46183</v>
      </c>
      <c r="E272" s="107">
        <v>46203</v>
      </c>
      <c r="F272" s="107"/>
      <c r="G272" s="107"/>
      <c r="H272" s="108"/>
    </row>
    <row r="273" spans="2:8" ht="18" customHeight="1" x14ac:dyDescent="0.35">
      <c r="B273" s="23" t="str">
        <f t="shared" si="38"/>
        <v>IDE012</v>
      </c>
      <c r="C273" s="82" t="s">
        <v>241</v>
      </c>
      <c r="D273" s="107">
        <v>46204</v>
      </c>
      <c r="E273" s="107">
        <v>46234</v>
      </c>
      <c r="F273" s="107"/>
      <c r="G273" s="107"/>
      <c r="H273" s="108"/>
    </row>
    <row r="274" spans="2:8" ht="18" customHeight="1" x14ac:dyDescent="0.35">
      <c r="B274" s="23" t="str">
        <f t="shared" si="38"/>
        <v>IDE012</v>
      </c>
      <c r="C274" s="82" t="s">
        <v>242</v>
      </c>
      <c r="D274" s="107">
        <v>46218</v>
      </c>
      <c r="E274" s="107">
        <v>46234</v>
      </c>
      <c r="F274" s="107"/>
      <c r="G274" s="107"/>
      <c r="H274" s="108"/>
    </row>
    <row r="275" spans="2:8" ht="18" customHeight="1" x14ac:dyDescent="0.35">
      <c r="B275" s="23" t="str">
        <f t="shared" si="38"/>
        <v>IDE012</v>
      </c>
      <c r="C275" s="82" t="s">
        <v>243</v>
      </c>
      <c r="D275" s="107">
        <v>46235</v>
      </c>
      <c r="E275" s="107">
        <v>46265</v>
      </c>
      <c r="F275" s="107"/>
      <c r="G275" s="107"/>
      <c r="H275" s="108"/>
    </row>
    <row r="276" spans="2:8" ht="18" customHeight="1" x14ac:dyDescent="0.35">
      <c r="B276" s="23" t="str">
        <f t="shared" si="38"/>
        <v>IDE012</v>
      </c>
      <c r="C276" s="82" t="s">
        <v>244</v>
      </c>
      <c r="D276" s="107">
        <v>46266</v>
      </c>
      <c r="E276" s="107">
        <v>46280</v>
      </c>
      <c r="F276" s="107"/>
      <c r="G276" s="107"/>
      <c r="H276" s="108"/>
    </row>
    <row r="277" spans="2:8" ht="18" customHeight="1" x14ac:dyDescent="0.35">
      <c r="B277" s="23" t="str">
        <f t="shared" si="38"/>
        <v>IDE012</v>
      </c>
      <c r="C277" s="83" t="s">
        <v>245</v>
      </c>
      <c r="D277" s="107">
        <v>46281</v>
      </c>
      <c r="E277" s="107">
        <v>46295</v>
      </c>
      <c r="F277" s="107"/>
      <c r="G277" s="107"/>
      <c r="H277" s="108"/>
    </row>
    <row r="278" spans="2:8" ht="18" customHeight="1" x14ac:dyDescent="0.35">
      <c r="B278" s="23" t="str">
        <f>"IDE"&amp;TEXT(ROW(A$13),"000")</f>
        <v>IDE013</v>
      </c>
      <c r="C278" s="33" t="s">
        <v>239</v>
      </c>
      <c r="D278" s="107">
        <v>46082</v>
      </c>
      <c r="E278" s="107">
        <v>46096</v>
      </c>
      <c r="F278" s="107"/>
      <c r="G278" s="107"/>
      <c r="H278" s="108"/>
    </row>
    <row r="279" spans="2:8" ht="18" customHeight="1" x14ac:dyDescent="0.35">
      <c r="B279" s="23" t="str">
        <f t="shared" ref="B279:B284" si="39">"IDE"&amp;TEXT(ROW(A$13),"000")</f>
        <v>IDE013</v>
      </c>
      <c r="C279" s="33" t="s">
        <v>240</v>
      </c>
      <c r="D279" s="107">
        <v>46091</v>
      </c>
      <c r="E279" s="107">
        <v>46112</v>
      </c>
      <c r="F279" s="107"/>
      <c r="G279" s="107"/>
      <c r="H279" s="108"/>
    </row>
    <row r="280" spans="2:8" ht="18" customHeight="1" x14ac:dyDescent="0.35">
      <c r="B280" s="23" t="str">
        <f t="shared" si="39"/>
        <v>IDE013</v>
      </c>
      <c r="C280" s="82" t="s">
        <v>241</v>
      </c>
      <c r="D280" s="107">
        <v>46113</v>
      </c>
      <c r="E280" s="107">
        <v>46142</v>
      </c>
      <c r="F280" s="107"/>
      <c r="G280" s="107"/>
      <c r="H280" s="108"/>
    </row>
    <row r="281" spans="2:8" ht="18" customHeight="1" x14ac:dyDescent="0.35">
      <c r="B281" s="23" t="str">
        <f t="shared" si="39"/>
        <v>IDE013</v>
      </c>
      <c r="C281" s="82" t="s">
        <v>242</v>
      </c>
      <c r="D281" s="107">
        <v>46127</v>
      </c>
      <c r="E281" s="107">
        <v>46157</v>
      </c>
      <c r="F281" s="107"/>
      <c r="G281" s="107"/>
      <c r="H281" s="108"/>
    </row>
    <row r="282" spans="2:8" ht="18" customHeight="1" x14ac:dyDescent="0.35">
      <c r="B282" s="23" t="str">
        <f t="shared" si="39"/>
        <v>IDE013</v>
      </c>
      <c r="C282" s="82" t="s">
        <v>243</v>
      </c>
      <c r="D282" s="107">
        <v>46143</v>
      </c>
      <c r="E282" s="107">
        <v>46173</v>
      </c>
      <c r="F282" s="107"/>
      <c r="G282" s="107"/>
      <c r="H282" s="108"/>
    </row>
    <row r="283" spans="2:8" ht="18" customHeight="1" x14ac:dyDescent="0.35">
      <c r="B283" s="23" t="str">
        <f t="shared" si="39"/>
        <v>IDE013</v>
      </c>
      <c r="C283" s="82" t="s">
        <v>244</v>
      </c>
      <c r="D283" s="107">
        <v>46174</v>
      </c>
      <c r="E283" s="107">
        <v>46188</v>
      </c>
      <c r="F283" s="107"/>
      <c r="G283" s="107"/>
      <c r="H283" s="108"/>
    </row>
    <row r="284" spans="2:8" ht="18" customHeight="1" x14ac:dyDescent="0.35">
      <c r="B284" s="23" t="str">
        <f t="shared" si="39"/>
        <v>IDE013</v>
      </c>
      <c r="C284" s="83" t="s">
        <v>245</v>
      </c>
      <c r="D284" s="107">
        <v>46189</v>
      </c>
      <c r="E284" s="107">
        <v>46203</v>
      </c>
      <c r="F284" s="107"/>
      <c r="G284" s="107"/>
      <c r="H284" s="108"/>
    </row>
    <row r="285" spans="2:8" ht="18" customHeight="1" x14ac:dyDescent="0.35">
      <c r="B285" s="23" t="str">
        <f>"IDE"&amp;TEXT(ROW(A$14),"000")</f>
        <v>IDE014</v>
      </c>
      <c r="C285" s="33" t="s">
        <v>239</v>
      </c>
      <c r="D285" s="107">
        <v>46266</v>
      </c>
      <c r="E285" s="107">
        <v>46280</v>
      </c>
      <c r="F285" s="107"/>
      <c r="G285" s="107"/>
      <c r="H285" s="108"/>
    </row>
    <row r="286" spans="2:8" ht="18" customHeight="1" x14ac:dyDescent="0.35">
      <c r="B286" s="23" t="str">
        <f t="shared" ref="B286:B291" si="40">"IDE"&amp;TEXT(ROW(A$14),"000")</f>
        <v>IDE014</v>
      </c>
      <c r="C286" s="33" t="s">
        <v>240</v>
      </c>
      <c r="D286" s="107">
        <v>46275</v>
      </c>
      <c r="E286" s="107">
        <v>46295</v>
      </c>
      <c r="F286" s="107"/>
      <c r="G286" s="107"/>
      <c r="H286" s="108"/>
    </row>
    <row r="287" spans="2:8" ht="18" customHeight="1" x14ac:dyDescent="0.35">
      <c r="B287" s="23" t="str">
        <f t="shared" si="40"/>
        <v>IDE014</v>
      </c>
      <c r="C287" s="82" t="s">
        <v>241</v>
      </c>
      <c r="D287" s="107">
        <v>46296</v>
      </c>
      <c r="E287" s="107">
        <v>46326</v>
      </c>
      <c r="F287" s="107"/>
      <c r="G287" s="107"/>
      <c r="H287" s="108"/>
    </row>
    <row r="288" spans="2:8" ht="18" customHeight="1" x14ac:dyDescent="0.35">
      <c r="B288" s="23" t="str">
        <f t="shared" si="40"/>
        <v>IDE014</v>
      </c>
      <c r="C288" s="82" t="s">
        <v>242</v>
      </c>
      <c r="D288" s="107">
        <v>46315</v>
      </c>
      <c r="E288" s="107">
        <v>46336</v>
      </c>
      <c r="F288" s="107"/>
      <c r="G288" s="107"/>
      <c r="H288" s="108"/>
    </row>
    <row r="289" spans="2:8" ht="18" customHeight="1" x14ac:dyDescent="0.35">
      <c r="B289" s="23" t="str">
        <f t="shared" si="40"/>
        <v>IDE014</v>
      </c>
      <c r="C289" s="82" t="s">
        <v>243</v>
      </c>
      <c r="D289" s="107">
        <v>46327</v>
      </c>
      <c r="E289" s="107">
        <v>46346</v>
      </c>
      <c r="F289" s="107"/>
      <c r="G289" s="107"/>
      <c r="H289" s="108"/>
    </row>
    <row r="290" spans="2:8" ht="18" customHeight="1" x14ac:dyDescent="0.35">
      <c r="B290" s="23" t="str">
        <f t="shared" si="40"/>
        <v>IDE014</v>
      </c>
      <c r="C290" s="82" t="s">
        <v>244</v>
      </c>
      <c r="D290" s="107">
        <v>46347</v>
      </c>
      <c r="E290" s="107">
        <v>46366</v>
      </c>
      <c r="F290" s="107"/>
      <c r="G290" s="107"/>
      <c r="H290" s="108"/>
    </row>
    <row r="291" spans="2:8" ht="18" customHeight="1" x14ac:dyDescent="0.35">
      <c r="B291" s="23" t="str">
        <f t="shared" si="40"/>
        <v>IDE014</v>
      </c>
      <c r="C291" s="83" t="s">
        <v>245</v>
      </c>
      <c r="D291" s="107">
        <v>46367</v>
      </c>
      <c r="E291" s="107">
        <v>46387</v>
      </c>
      <c r="F291" s="107"/>
      <c r="G291" s="107"/>
      <c r="H291" s="108"/>
    </row>
    <row r="292" spans="2:8" ht="18" customHeight="1" x14ac:dyDescent="0.35">
      <c r="B292" s="23" t="str">
        <f>"IDE"&amp;TEXT(ROW(A$15),"000")</f>
        <v>IDE015</v>
      </c>
      <c r="C292" s="33" t="s">
        <v>239</v>
      </c>
      <c r="D292" s="107">
        <v>46082</v>
      </c>
      <c r="E292" s="107">
        <v>46096</v>
      </c>
      <c r="F292" s="107"/>
      <c r="G292" s="107"/>
      <c r="H292" s="108"/>
    </row>
    <row r="293" spans="2:8" ht="18" customHeight="1" x14ac:dyDescent="0.35">
      <c r="B293" s="23" t="str">
        <f t="shared" ref="B293:B298" si="41">"IDE"&amp;TEXT(ROW(A$15),"000")</f>
        <v>IDE015</v>
      </c>
      <c r="C293" s="33" t="s">
        <v>240</v>
      </c>
      <c r="D293" s="107">
        <v>46091</v>
      </c>
      <c r="E293" s="107">
        <v>46112</v>
      </c>
      <c r="F293" s="107"/>
      <c r="G293" s="107"/>
      <c r="H293" s="108"/>
    </row>
    <row r="294" spans="2:8" ht="18" customHeight="1" x14ac:dyDescent="0.35">
      <c r="B294" s="23" t="str">
        <f t="shared" si="41"/>
        <v>IDE015</v>
      </c>
      <c r="C294" s="82" t="s">
        <v>241</v>
      </c>
      <c r="D294" s="107">
        <v>46113</v>
      </c>
      <c r="E294" s="107">
        <v>46142</v>
      </c>
      <c r="F294" s="107"/>
      <c r="G294" s="107"/>
      <c r="H294" s="108"/>
    </row>
    <row r="295" spans="2:8" ht="18" customHeight="1" x14ac:dyDescent="0.35">
      <c r="B295" s="23" t="str">
        <f t="shared" si="41"/>
        <v>IDE015</v>
      </c>
      <c r="C295" s="82" t="s">
        <v>242</v>
      </c>
      <c r="D295" s="107">
        <v>46127</v>
      </c>
      <c r="E295" s="107">
        <v>46157</v>
      </c>
      <c r="F295" s="107"/>
      <c r="G295" s="107"/>
      <c r="H295" s="108"/>
    </row>
    <row r="296" spans="2:8" ht="18" customHeight="1" x14ac:dyDescent="0.35">
      <c r="B296" s="23" t="str">
        <f t="shared" si="41"/>
        <v>IDE015</v>
      </c>
      <c r="C296" s="82" t="s">
        <v>243</v>
      </c>
      <c r="D296" s="107">
        <v>46143</v>
      </c>
      <c r="E296" s="107">
        <v>46173</v>
      </c>
      <c r="F296" s="107"/>
      <c r="G296" s="107"/>
      <c r="H296" s="108"/>
    </row>
    <row r="297" spans="2:8" ht="18" customHeight="1" x14ac:dyDescent="0.35">
      <c r="B297" s="23" t="str">
        <f t="shared" si="41"/>
        <v>IDE015</v>
      </c>
      <c r="C297" s="82" t="s">
        <v>244</v>
      </c>
      <c r="D297" s="107">
        <v>46174</v>
      </c>
      <c r="E297" s="107">
        <v>46188</v>
      </c>
      <c r="F297" s="107"/>
      <c r="G297" s="107"/>
      <c r="H297" s="108"/>
    </row>
    <row r="298" spans="2:8" ht="18" customHeight="1" x14ac:dyDescent="0.35">
      <c r="B298" s="23" t="str">
        <f t="shared" si="41"/>
        <v>IDE015</v>
      </c>
      <c r="C298" s="83" t="s">
        <v>245</v>
      </c>
      <c r="D298" s="107">
        <v>46189</v>
      </c>
      <c r="E298" s="107">
        <v>46203</v>
      </c>
      <c r="F298" s="107"/>
      <c r="G298" s="107"/>
      <c r="H298" s="108"/>
    </row>
    <row r="299" spans="2:8" ht="18" customHeight="1" x14ac:dyDescent="0.35">
      <c r="B299" s="23" t="str">
        <f>"IDE"&amp;TEXT(ROW(A$16),"000")</f>
        <v>IDE016</v>
      </c>
      <c r="C299" s="33" t="s">
        <v>239</v>
      </c>
      <c r="D299" s="107"/>
      <c r="E299" s="107"/>
      <c r="F299" s="107"/>
      <c r="G299" s="107"/>
      <c r="H299" s="108"/>
    </row>
    <row r="300" spans="2:8" ht="18" customHeight="1" x14ac:dyDescent="0.35">
      <c r="B300" s="23" t="str">
        <f t="shared" ref="B300:B305" si="42">"IDE"&amp;TEXT(ROW(A$16),"000")</f>
        <v>IDE016</v>
      </c>
      <c r="C300" s="33" t="s">
        <v>240</v>
      </c>
      <c r="D300" s="107"/>
      <c r="E300" s="107"/>
      <c r="F300" s="107"/>
      <c r="G300" s="107"/>
      <c r="H300" s="108"/>
    </row>
    <row r="301" spans="2:8" ht="18" customHeight="1" x14ac:dyDescent="0.35">
      <c r="B301" s="23" t="str">
        <f t="shared" si="42"/>
        <v>IDE016</v>
      </c>
      <c r="C301" s="82" t="s">
        <v>241</v>
      </c>
      <c r="D301" s="107"/>
      <c r="E301" s="107"/>
      <c r="F301" s="107"/>
      <c r="G301" s="107"/>
      <c r="H301" s="108"/>
    </row>
    <row r="302" spans="2:8" ht="18" customHeight="1" x14ac:dyDescent="0.35">
      <c r="B302" s="23" t="str">
        <f t="shared" si="42"/>
        <v>IDE016</v>
      </c>
      <c r="C302" s="82" t="s">
        <v>242</v>
      </c>
      <c r="D302" s="107"/>
      <c r="E302" s="107"/>
      <c r="F302" s="107"/>
      <c r="G302" s="107"/>
      <c r="H302" s="108"/>
    </row>
    <row r="303" spans="2:8" ht="18" customHeight="1" x14ac:dyDescent="0.35">
      <c r="B303" s="23" t="str">
        <f t="shared" si="42"/>
        <v>IDE016</v>
      </c>
      <c r="C303" s="82" t="s">
        <v>243</v>
      </c>
      <c r="D303" s="107"/>
      <c r="E303" s="107"/>
      <c r="F303" s="107"/>
      <c r="G303" s="107"/>
      <c r="H303" s="108"/>
    </row>
    <row r="304" spans="2:8" ht="18" customHeight="1" x14ac:dyDescent="0.35">
      <c r="B304" s="23" t="str">
        <f t="shared" si="42"/>
        <v>IDE016</v>
      </c>
      <c r="C304" s="82" t="s">
        <v>244</v>
      </c>
      <c r="D304" s="107"/>
      <c r="E304" s="107"/>
      <c r="F304" s="107"/>
      <c r="G304" s="107"/>
      <c r="H304" s="108"/>
    </row>
    <row r="305" spans="2:8" ht="18" customHeight="1" x14ac:dyDescent="0.35">
      <c r="B305" s="23" t="str">
        <f t="shared" si="42"/>
        <v>IDE016</v>
      </c>
      <c r="C305" s="83" t="s">
        <v>245</v>
      </c>
      <c r="D305" s="107"/>
      <c r="E305" s="107"/>
      <c r="F305" s="107"/>
      <c r="G305" s="107"/>
      <c r="H305" s="108"/>
    </row>
    <row r="306" spans="2:8" ht="18" customHeight="1" x14ac:dyDescent="0.35">
      <c r="B306" s="23" t="str">
        <f>"IDE"&amp;TEXT(ROW(A$17),"000")</f>
        <v>IDE017</v>
      </c>
      <c r="C306" s="33" t="s">
        <v>239</v>
      </c>
      <c r="D306" s="107">
        <v>46174</v>
      </c>
      <c r="E306" s="107">
        <v>46188</v>
      </c>
      <c r="F306" s="107"/>
      <c r="G306" s="107"/>
      <c r="H306" s="108"/>
    </row>
    <row r="307" spans="2:8" ht="18" customHeight="1" x14ac:dyDescent="0.35">
      <c r="B307" s="23" t="str">
        <f t="shared" ref="B307:B312" si="43">"IDE"&amp;TEXT(ROW(A$17),"000")</f>
        <v>IDE017</v>
      </c>
      <c r="C307" s="33" t="s">
        <v>240</v>
      </c>
      <c r="D307" s="107">
        <v>46183</v>
      </c>
      <c r="E307" s="107">
        <v>46203</v>
      </c>
      <c r="F307" s="107"/>
      <c r="G307" s="107"/>
      <c r="H307" s="108"/>
    </row>
    <row r="308" spans="2:8" ht="18" customHeight="1" x14ac:dyDescent="0.35">
      <c r="B308" s="23" t="str">
        <f t="shared" si="43"/>
        <v>IDE017</v>
      </c>
      <c r="C308" s="82" t="s">
        <v>241</v>
      </c>
      <c r="D308" s="107">
        <v>46204</v>
      </c>
      <c r="E308" s="107">
        <v>46234</v>
      </c>
      <c r="F308" s="107"/>
      <c r="G308" s="107"/>
      <c r="H308" s="108"/>
    </row>
    <row r="309" spans="2:8" ht="18" customHeight="1" x14ac:dyDescent="0.35">
      <c r="B309" s="23" t="str">
        <f t="shared" si="43"/>
        <v>IDE017</v>
      </c>
      <c r="C309" s="82" t="s">
        <v>242</v>
      </c>
      <c r="D309" s="107">
        <v>46218</v>
      </c>
      <c r="E309" s="107">
        <v>46234</v>
      </c>
      <c r="F309" s="107"/>
      <c r="G309" s="107"/>
      <c r="H309" s="108"/>
    </row>
    <row r="310" spans="2:8" ht="18" customHeight="1" x14ac:dyDescent="0.35">
      <c r="B310" s="23" t="str">
        <f t="shared" si="43"/>
        <v>IDE017</v>
      </c>
      <c r="C310" s="82" t="s">
        <v>243</v>
      </c>
      <c r="D310" s="107">
        <v>46235</v>
      </c>
      <c r="E310" s="107">
        <v>46265</v>
      </c>
      <c r="F310" s="107"/>
      <c r="G310" s="107"/>
      <c r="H310" s="108"/>
    </row>
    <row r="311" spans="2:8" ht="18" customHeight="1" x14ac:dyDescent="0.35">
      <c r="B311" s="23" t="str">
        <f t="shared" si="43"/>
        <v>IDE017</v>
      </c>
      <c r="C311" s="82" t="s">
        <v>244</v>
      </c>
      <c r="D311" s="107">
        <v>46266</v>
      </c>
      <c r="E311" s="107">
        <v>46280</v>
      </c>
      <c r="F311" s="107"/>
      <c r="G311" s="107"/>
      <c r="H311" s="108"/>
    </row>
    <row r="312" spans="2:8" ht="18" customHeight="1" x14ac:dyDescent="0.35">
      <c r="B312" s="23" t="str">
        <f t="shared" si="43"/>
        <v>IDE017</v>
      </c>
      <c r="C312" s="83" t="s">
        <v>245</v>
      </c>
      <c r="D312" s="107">
        <v>46281</v>
      </c>
      <c r="E312" s="107">
        <v>46295</v>
      </c>
      <c r="F312" s="107"/>
      <c r="G312" s="107"/>
      <c r="H312" s="108"/>
    </row>
    <row r="313" spans="2:8" ht="18" customHeight="1" x14ac:dyDescent="0.35">
      <c r="B313" s="23" t="str">
        <f>"IDE"&amp;TEXT(ROW(A$18),"000")</f>
        <v>IDE018</v>
      </c>
      <c r="C313" s="33" t="s">
        <v>239</v>
      </c>
      <c r="D313" s="107"/>
      <c r="E313" s="107"/>
      <c r="F313" s="107"/>
      <c r="G313" s="107"/>
      <c r="H313" s="108"/>
    </row>
    <row r="314" spans="2:8" ht="18" customHeight="1" x14ac:dyDescent="0.35">
      <c r="B314" s="23" t="str">
        <f t="shared" ref="B314:B319" si="44">"IDE"&amp;TEXT(ROW(A$18),"000")</f>
        <v>IDE018</v>
      </c>
      <c r="C314" s="33" t="s">
        <v>240</v>
      </c>
      <c r="D314" s="107"/>
      <c r="E314" s="107"/>
      <c r="F314" s="107"/>
      <c r="G314" s="107"/>
      <c r="H314" s="108"/>
    </row>
    <row r="315" spans="2:8" ht="18" customHeight="1" x14ac:dyDescent="0.35">
      <c r="B315" s="23" t="str">
        <f t="shared" si="44"/>
        <v>IDE018</v>
      </c>
      <c r="C315" s="82" t="s">
        <v>241</v>
      </c>
      <c r="D315" s="107"/>
      <c r="E315" s="107"/>
      <c r="F315" s="107"/>
      <c r="G315" s="107"/>
      <c r="H315" s="108"/>
    </row>
    <row r="316" spans="2:8" ht="18" customHeight="1" x14ac:dyDescent="0.35">
      <c r="B316" s="23" t="str">
        <f t="shared" si="44"/>
        <v>IDE018</v>
      </c>
      <c r="C316" s="82" t="s">
        <v>242</v>
      </c>
      <c r="D316" s="107"/>
      <c r="E316" s="107"/>
      <c r="F316" s="107"/>
      <c r="G316" s="107"/>
      <c r="H316" s="108"/>
    </row>
    <row r="317" spans="2:8" ht="18" customHeight="1" x14ac:dyDescent="0.35">
      <c r="B317" s="23" t="str">
        <f t="shared" si="44"/>
        <v>IDE018</v>
      </c>
      <c r="C317" s="82" t="s">
        <v>243</v>
      </c>
      <c r="D317" s="107"/>
      <c r="E317" s="107"/>
      <c r="F317" s="107"/>
      <c r="G317" s="107"/>
      <c r="H317" s="108"/>
    </row>
    <row r="318" spans="2:8" ht="18" customHeight="1" x14ac:dyDescent="0.35">
      <c r="B318" s="23" t="str">
        <f t="shared" si="44"/>
        <v>IDE018</v>
      </c>
      <c r="C318" s="82" t="s">
        <v>244</v>
      </c>
      <c r="D318" s="107"/>
      <c r="E318" s="107"/>
      <c r="F318" s="107"/>
      <c r="G318" s="107"/>
      <c r="H318" s="108"/>
    </row>
    <row r="319" spans="2:8" ht="18" customHeight="1" x14ac:dyDescent="0.35">
      <c r="B319" s="23" t="str">
        <f t="shared" si="44"/>
        <v>IDE018</v>
      </c>
      <c r="C319" s="83" t="s">
        <v>245</v>
      </c>
      <c r="D319" s="107"/>
      <c r="E319" s="107"/>
      <c r="F319" s="107"/>
      <c r="G319" s="107"/>
      <c r="H319" s="108"/>
    </row>
    <row r="320" spans="2:8" ht="18" customHeight="1" x14ac:dyDescent="0.35">
      <c r="B320" s="23" t="str">
        <f>"IDE"&amp;TEXT(ROW(A$19),"000")</f>
        <v>IDE019</v>
      </c>
      <c r="C320" s="33" t="s">
        <v>239</v>
      </c>
      <c r="D320" s="107"/>
      <c r="E320" s="107"/>
      <c r="F320" s="107"/>
      <c r="G320" s="107"/>
      <c r="H320" s="108"/>
    </row>
    <row r="321" spans="2:8" ht="18" customHeight="1" x14ac:dyDescent="0.35">
      <c r="B321" s="23" t="str">
        <f t="shared" ref="B321:B326" si="45">"IDE"&amp;TEXT(ROW(A$19),"000")</f>
        <v>IDE019</v>
      </c>
      <c r="C321" s="33" t="s">
        <v>240</v>
      </c>
      <c r="D321" s="107"/>
      <c r="E321" s="107"/>
      <c r="F321" s="107"/>
      <c r="G321" s="107"/>
      <c r="H321" s="108"/>
    </row>
    <row r="322" spans="2:8" ht="18" customHeight="1" x14ac:dyDescent="0.35">
      <c r="B322" s="23" t="str">
        <f t="shared" si="45"/>
        <v>IDE019</v>
      </c>
      <c r="C322" s="82" t="s">
        <v>241</v>
      </c>
      <c r="D322" s="107"/>
      <c r="E322" s="107"/>
      <c r="F322" s="107"/>
      <c r="G322" s="107"/>
      <c r="H322" s="108"/>
    </row>
    <row r="323" spans="2:8" ht="18" customHeight="1" x14ac:dyDescent="0.35">
      <c r="B323" s="23" t="str">
        <f t="shared" si="45"/>
        <v>IDE019</v>
      </c>
      <c r="C323" s="82" t="s">
        <v>242</v>
      </c>
      <c r="D323" s="107"/>
      <c r="E323" s="107"/>
      <c r="F323" s="107"/>
      <c r="G323" s="107"/>
      <c r="H323" s="108"/>
    </row>
    <row r="324" spans="2:8" ht="18" customHeight="1" x14ac:dyDescent="0.35">
      <c r="B324" s="23" t="str">
        <f t="shared" si="45"/>
        <v>IDE019</v>
      </c>
      <c r="C324" s="82" t="s">
        <v>243</v>
      </c>
      <c r="D324" s="107"/>
      <c r="E324" s="107"/>
      <c r="F324" s="107"/>
      <c r="G324" s="107"/>
      <c r="H324" s="108"/>
    </row>
    <row r="325" spans="2:8" ht="18" customHeight="1" x14ac:dyDescent="0.35">
      <c r="B325" s="23" t="str">
        <f t="shared" si="45"/>
        <v>IDE019</v>
      </c>
      <c r="C325" s="82" t="s">
        <v>244</v>
      </c>
      <c r="D325" s="107"/>
      <c r="E325" s="107"/>
      <c r="F325" s="107"/>
      <c r="G325" s="107"/>
      <c r="H325" s="108"/>
    </row>
    <row r="326" spans="2:8" ht="18" customHeight="1" x14ac:dyDescent="0.35">
      <c r="B326" s="23" t="str">
        <f t="shared" si="45"/>
        <v>IDE019</v>
      </c>
      <c r="C326" s="83" t="s">
        <v>245</v>
      </c>
      <c r="D326" s="107"/>
      <c r="E326" s="107"/>
      <c r="F326" s="107"/>
      <c r="G326" s="107"/>
      <c r="H326" s="108"/>
    </row>
    <row r="327" spans="2:8" ht="18" customHeight="1" x14ac:dyDescent="0.35">
      <c r="B327" s="23" t="str">
        <f>"IDE"&amp;TEXT(ROW(A$20),"000")</f>
        <v>IDE020</v>
      </c>
      <c r="C327" s="33" t="s">
        <v>239</v>
      </c>
      <c r="D327" s="107">
        <v>46174</v>
      </c>
      <c r="E327" s="107">
        <v>46188</v>
      </c>
      <c r="F327" s="107"/>
      <c r="G327" s="107"/>
      <c r="H327" s="108"/>
    </row>
    <row r="328" spans="2:8" ht="18" customHeight="1" x14ac:dyDescent="0.35">
      <c r="B328" s="23" t="str">
        <f t="shared" ref="B328:B333" si="46">"IDE"&amp;TEXT(ROW(A$20),"000")</f>
        <v>IDE020</v>
      </c>
      <c r="C328" s="33" t="s">
        <v>240</v>
      </c>
      <c r="D328" s="107">
        <v>46183</v>
      </c>
      <c r="E328" s="107">
        <v>46203</v>
      </c>
      <c r="F328" s="107"/>
      <c r="G328" s="107"/>
      <c r="H328" s="108"/>
    </row>
    <row r="329" spans="2:8" ht="18" customHeight="1" x14ac:dyDescent="0.35">
      <c r="B329" s="23" t="str">
        <f t="shared" si="46"/>
        <v>IDE020</v>
      </c>
      <c r="C329" s="82" t="s">
        <v>241</v>
      </c>
      <c r="D329" s="107">
        <v>46204</v>
      </c>
      <c r="E329" s="107">
        <v>46234</v>
      </c>
      <c r="F329" s="107"/>
      <c r="G329" s="107"/>
      <c r="H329" s="108"/>
    </row>
    <row r="330" spans="2:8" ht="18" customHeight="1" x14ac:dyDescent="0.35">
      <c r="B330" s="23" t="str">
        <f t="shared" si="46"/>
        <v>IDE020</v>
      </c>
      <c r="C330" s="82" t="s">
        <v>242</v>
      </c>
      <c r="D330" s="107">
        <v>46218</v>
      </c>
      <c r="E330" s="107">
        <v>46234</v>
      </c>
      <c r="F330" s="107"/>
      <c r="G330" s="107"/>
      <c r="H330" s="108"/>
    </row>
    <row r="331" spans="2:8" ht="18" customHeight="1" x14ac:dyDescent="0.35">
      <c r="B331" s="23" t="str">
        <f t="shared" si="46"/>
        <v>IDE020</v>
      </c>
      <c r="C331" s="82" t="s">
        <v>243</v>
      </c>
      <c r="D331" s="107">
        <v>46235</v>
      </c>
      <c r="E331" s="107">
        <v>46265</v>
      </c>
      <c r="F331" s="107"/>
      <c r="G331" s="107"/>
      <c r="H331" s="108"/>
    </row>
    <row r="332" spans="2:8" ht="18" customHeight="1" x14ac:dyDescent="0.35">
      <c r="B332" s="23" t="str">
        <f t="shared" si="46"/>
        <v>IDE020</v>
      </c>
      <c r="C332" s="82" t="s">
        <v>244</v>
      </c>
      <c r="D332" s="107">
        <v>46266</v>
      </c>
      <c r="E332" s="107">
        <v>46280</v>
      </c>
      <c r="F332" s="107"/>
      <c r="G332" s="107"/>
      <c r="H332" s="108"/>
    </row>
    <row r="333" spans="2:8" ht="18" customHeight="1" x14ac:dyDescent="0.35">
      <c r="B333" s="23" t="str">
        <f t="shared" si="46"/>
        <v>IDE020</v>
      </c>
      <c r="C333" s="83" t="s">
        <v>245</v>
      </c>
      <c r="D333" s="107">
        <v>46281</v>
      </c>
      <c r="E333" s="107">
        <v>46295</v>
      </c>
      <c r="F333" s="107"/>
      <c r="G333" s="107"/>
      <c r="H333" s="108"/>
    </row>
    <row r="334" spans="2:8" ht="18" customHeight="1" x14ac:dyDescent="0.35">
      <c r="B334" s="23" t="str">
        <f>"IDE"&amp;TEXT(ROW(A$21),"000")</f>
        <v>IDE021</v>
      </c>
      <c r="C334" s="33" t="s">
        <v>239</v>
      </c>
      <c r="D334" s="107">
        <v>46266</v>
      </c>
      <c r="E334" s="107">
        <v>46280</v>
      </c>
      <c r="F334" s="107"/>
      <c r="G334" s="107"/>
      <c r="H334" s="108"/>
    </row>
    <row r="335" spans="2:8" ht="18" customHeight="1" x14ac:dyDescent="0.35">
      <c r="B335" s="23" t="str">
        <f t="shared" ref="B335:B340" si="47">"IDE"&amp;TEXT(ROW(A$21),"000")</f>
        <v>IDE021</v>
      </c>
      <c r="C335" s="33" t="s">
        <v>240</v>
      </c>
      <c r="D335" s="107">
        <v>46275</v>
      </c>
      <c r="E335" s="107">
        <v>46295</v>
      </c>
      <c r="F335" s="107"/>
      <c r="G335" s="107"/>
      <c r="H335" s="108"/>
    </row>
    <row r="336" spans="2:8" ht="18" customHeight="1" x14ac:dyDescent="0.35">
      <c r="B336" s="23" t="str">
        <f t="shared" si="47"/>
        <v>IDE021</v>
      </c>
      <c r="C336" s="82" t="s">
        <v>241</v>
      </c>
      <c r="D336" s="107">
        <v>46296</v>
      </c>
      <c r="E336" s="107">
        <v>46326</v>
      </c>
      <c r="F336" s="107"/>
      <c r="G336" s="107"/>
      <c r="H336" s="108"/>
    </row>
    <row r="337" spans="2:8" ht="18" customHeight="1" x14ac:dyDescent="0.35">
      <c r="B337" s="23" t="str">
        <f t="shared" si="47"/>
        <v>IDE021</v>
      </c>
      <c r="C337" s="82" t="s">
        <v>242</v>
      </c>
      <c r="D337" s="107">
        <v>46315</v>
      </c>
      <c r="E337" s="107">
        <v>46336</v>
      </c>
      <c r="F337" s="107"/>
      <c r="G337" s="107"/>
      <c r="H337" s="108"/>
    </row>
    <row r="338" spans="2:8" ht="18" customHeight="1" x14ac:dyDescent="0.35">
      <c r="B338" s="23" t="str">
        <f t="shared" si="47"/>
        <v>IDE021</v>
      </c>
      <c r="C338" s="82" t="s">
        <v>243</v>
      </c>
      <c r="D338" s="107">
        <v>46327</v>
      </c>
      <c r="E338" s="107">
        <v>46346</v>
      </c>
      <c r="F338" s="107"/>
      <c r="G338" s="107"/>
      <c r="H338" s="108"/>
    </row>
    <row r="339" spans="2:8" ht="18" customHeight="1" x14ac:dyDescent="0.35">
      <c r="B339" s="23" t="str">
        <f t="shared" si="47"/>
        <v>IDE021</v>
      </c>
      <c r="C339" s="82" t="s">
        <v>244</v>
      </c>
      <c r="D339" s="107">
        <v>46347</v>
      </c>
      <c r="E339" s="107">
        <v>46366</v>
      </c>
      <c r="F339" s="107"/>
      <c r="G339" s="107"/>
      <c r="H339" s="108"/>
    </row>
    <row r="340" spans="2:8" ht="18" customHeight="1" x14ac:dyDescent="0.35">
      <c r="B340" s="23" t="str">
        <f t="shared" si="47"/>
        <v>IDE021</v>
      </c>
      <c r="C340" s="83" t="s">
        <v>245</v>
      </c>
      <c r="D340" s="107">
        <v>46367</v>
      </c>
      <c r="E340" s="107">
        <v>46387</v>
      </c>
      <c r="F340" s="107"/>
      <c r="G340" s="107"/>
      <c r="H340" s="108"/>
    </row>
    <row r="341" spans="2:8" ht="18" customHeight="1" x14ac:dyDescent="0.35">
      <c r="B341" s="23" t="str">
        <f>"IDE"&amp;TEXT(ROW(A$22),"000")</f>
        <v>IDE022</v>
      </c>
      <c r="C341" s="33" t="s">
        <v>239</v>
      </c>
      <c r="D341" s="107">
        <v>46174</v>
      </c>
      <c r="E341" s="107">
        <v>46188</v>
      </c>
      <c r="F341" s="107"/>
      <c r="G341" s="107"/>
      <c r="H341" s="108"/>
    </row>
    <row r="342" spans="2:8" ht="18" customHeight="1" x14ac:dyDescent="0.35">
      <c r="B342" s="23" t="str">
        <f t="shared" ref="B342:B347" si="48">"IDE"&amp;TEXT(ROW(A$22),"000")</f>
        <v>IDE022</v>
      </c>
      <c r="C342" s="33" t="s">
        <v>240</v>
      </c>
      <c r="D342" s="107">
        <v>46183</v>
      </c>
      <c r="E342" s="107">
        <v>46203</v>
      </c>
      <c r="F342" s="107"/>
      <c r="G342" s="107"/>
      <c r="H342" s="108"/>
    </row>
    <row r="343" spans="2:8" ht="18" customHeight="1" x14ac:dyDescent="0.35">
      <c r="B343" s="23" t="str">
        <f t="shared" si="48"/>
        <v>IDE022</v>
      </c>
      <c r="C343" s="82" t="s">
        <v>241</v>
      </c>
      <c r="D343" s="107">
        <v>46204</v>
      </c>
      <c r="E343" s="107">
        <v>46234</v>
      </c>
      <c r="F343" s="107"/>
      <c r="G343" s="107"/>
      <c r="H343" s="108"/>
    </row>
    <row r="344" spans="2:8" ht="18" customHeight="1" x14ac:dyDescent="0.35">
      <c r="B344" s="23" t="str">
        <f t="shared" si="48"/>
        <v>IDE022</v>
      </c>
      <c r="C344" s="82" t="s">
        <v>242</v>
      </c>
      <c r="D344" s="107">
        <v>46218</v>
      </c>
      <c r="E344" s="107">
        <v>46234</v>
      </c>
      <c r="F344" s="107"/>
      <c r="G344" s="107"/>
      <c r="H344" s="108"/>
    </row>
    <row r="345" spans="2:8" ht="18" customHeight="1" x14ac:dyDescent="0.35">
      <c r="B345" s="23" t="str">
        <f t="shared" si="48"/>
        <v>IDE022</v>
      </c>
      <c r="C345" s="82" t="s">
        <v>243</v>
      </c>
      <c r="D345" s="107">
        <v>46235</v>
      </c>
      <c r="E345" s="107">
        <v>46265</v>
      </c>
      <c r="F345" s="107"/>
      <c r="G345" s="107"/>
      <c r="H345" s="108"/>
    </row>
    <row r="346" spans="2:8" ht="18" customHeight="1" x14ac:dyDescent="0.35">
      <c r="B346" s="23" t="str">
        <f t="shared" si="48"/>
        <v>IDE022</v>
      </c>
      <c r="C346" s="82" t="s">
        <v>244</v>
      </c>
      <c r="D346" s="107">
        <v>46266</v>
      </c>
      <c r="E346" s="107">
        <v>46280</v>
      </c>
      <c r="F346" s="107"/>
      <c r="G346" s="107"/>
      <c r="H346" s="108"/>
    </row>
    <row r="347" spans="2:8" ht="18" customHeight="1" x14ac:dyDescent="0.35">
      <c r="B347" s="23" t="str">
        <f t="shared" si="48"/>
        <v>IDE022</v>
      </c>
      <c r="C347" s="83" t="s">
        <v>245</v>
      </c>
      <c r="D347" s="107">
        <v>46281</v>
      </c>
      <c r="E347" s="107">
        <v>46295</v>
      </c>
      <c r="F347" s="107"/>
      <c r="G347" s="107"/>
      <c r="H347" s="108"/>
    </row>
    <row r="348" spans="2:8" ht="18" customHeight="1" x14ac:dyDescent="0.35">
      <c r="B348" s="23" t="str">
        <f>"IDE"&amp;TEXT(ROW(A$23),"000")</f>
        <v>IDE023</v>
      </c>
      <c r="C348" s="33" t="s">
        <v>239</v>
      </c>
      <c r="D348" s="107"/>
      <c r="E348" s="107"/>
      <c r="F348" s="107"/>
      <c r="G348" s="107"/>
      <c r="H348" s="108"/>
    </row>
    <row r="349" spans="2:8" ht="18" customHeight="1" x14ac:dyDescent="0.35">
      <c r="B349" s="23" t="str">
        <f t="shared" ref="B349:B354" si="49">"IDE"&amp;TEXT(ROW(A$23),"000")</f>
        <v>IDE023</v>
      </c>
      <c r="C349" s="33" t="s">
        <v>240</v>
      </c>
      <c r="D349" s="107"/>
      <c r="E349" s="107"/>
      <c r="F349" s="107"/>
      <c r="G349" s="107"/>
      <c r="H349" s="108"/>
    </row>
    <row r="350" spans="2:8" ht="18" customHeight="1" x14ac:dyDescent="0.35">
      <c r="B350" s="23" t="str">
        <f t="shared" si="49"/>
        <v>IDE023</v>
      </c>
      <c r="C350" s="82" t="s">
        <v>241</v>
      </c>
      <c r="D350" s="107"/>
      <c r="E350" s="107"/>
      <c r="F350" s="107"/>
      <c r="G350" s="107"/>
      <c r="H350" s="108"/>
    </row>
    <row r="351" spans="2:8" ht="18" customHeight="1" x14ac:dyDescent="0.35">
      <c r="B351" s="23" t="str">
        <f t="shared" si="49"/>
        <v>IDE023</v>
      </c>
      <c r="C351" s="82" t="s">
        <v>242</v>
      </c>
      <c r="D351" s="107"/>
      <c r="E351" s="107"/>
      <c r="F351" s="107"/>
      <c r="G351" s="107"/>
      <c r="H351" s="108"/>
    </row>
    <row r="352" spans="2:8" ht="18" customHeight="1" x14ac:dyDescent="0.35">
      <c r="B352" s="23" t="str">
        <f t="shared" si="49"/>
        <v>IDE023</v>
      </c>
      <c r="C352" s="82" t="s">
        <v>243</v>
      </c>
      <c r="D352" s="107"/>
      <c r="E352" s="107"/>
      <c r="F352" s="107"/>
      <c r="G352" s="107"/>
      <c r="H352" s="108"/>
    </row>
    <row r="353" spans="2:8" ht="18" customHeight="1" x14ac:dyDescent="0.35">
      <c r="B353" s="23" t="str">
        <f t="shared" si="49"/>
        <v>IDE023</v>
      </c>
      <c r="C353" s="82" t="s">
        <v>244</v>
      </c>
      <c r="D353" s="107"/>
      <c r="E353" s="107"/>
      <c r="F353" s="107"/>
      <c r="G353" s="107"/>
      <c r="H353" s="108"/>
    </row>
    <row r="354" spans="2:8" ht="18" customHeight="1" x14ac:dyDescent="0.35">
      <c r="B354" s="23" t="str">
        <f t="shared" si="49"/>
        <v>IDE023</v>
      </c>
      <c r="C354" s="83" t="s">
        <v>245</v>
      </c>
      <c r="D354" s="107"/>
      <c r="E354" s="107"/>
      <c r="F354" s="107"/>
      <c r="G354" s="107"/>
      <c r="H354" s="108"/>
    </row>
    <row r="355" spans="2:8" ht="18" customHeight="1" x14ac:dyDescent="0.35">
      <c r="B355" s="23" t="str">
        <f>"IDE"&amp;TEXT(ROW(A$24),"000")</f>
        <v>IDE024</v>
      </c>
      <c r="C355" s="33" t="s">
        <v>239</v>
      </c>
      <c r="D355" s="107">
        <v>46266</v>
      </c>
      <c r="E355" s="107">
        <v>46280</v>
      </c>
      <c r="F355" s="107"/>
      <c r="G355" s="107"/>
      <c r="H355" s="108"/>
    </row>
    <row r="356" spans="2:8" ht="18" customHeight="1" x14ac:dyDescent="0.35">
      <c r="B356" s="23" t="str">
        <f t="shared" ref="B356:B361" si="50">"IDE"&amp;TEXT(ROW(A$24),"000")</f>
        <v>IDE024</v>
      </c>
      <c r="C356" s="33" t="s">
        <v>240</v>
      </c>
      <c r="D356" s="107">
        <v>46275</v>
      </c>
      <c r="E356" s="107">
        <v>46295</v>
      </c>
      <c r="F356" s="107"/>
      <c r="G356" s="107"/>
      <c r="H356" s="108"/>
    </row>
    <row r="357" spans="2:8" ht="18" customHeight="1" x14ac:dyDescent="0.35">
      <c r="B357" s="23" t="str">
        <f t="shared" si="50"/>
        <v>IDE024</v>
      </c>
      <c r="C357" s="82" t="s">
        <v>241</v>
      </c>
      <c r="D357" s="107">
        <v>46296</v>
      </c>
      <c r="E357" s="107">
        <v>46326</v>
      </c>
      <c r="F357" s="107"/>
      <c r="G357" s="107"/>
      <c r="H357" s="108"/>
    </row>
    <row r="358" spans="2:8" ht="18" customHeight="1" x14ac:dyDescent="0.35">
      <c r="B358" s="23" t="str">
        <f t="shared" si="50"/>
        <v>IDE024</v>
      </c>
      <c r="C358" s="82" t="s">
        <v>242</v>
      </c>
      <c r="D358" s="107">
        <v>46315</v>
      </c>
      <c r="E358" s="107">
        <v>46336</v>
      </c>
      <c r="F358" s="107"/>
      <c r="G358" s="107"/>
      <c r="H358" s="108"/>
    </row>
    <row r="359" spans="2:8" ht="18" customHeight="1" x14ac:dyDescent="0.35">
      <c r="B359" s="23" t="str">
        <f t="shared" si="50"/>
        <v>IDE024</v>
      </c>
      <c r="C359" s="82" t="s">
        <v>243</v>
      </c>
      <c r="D359" s="107">
        <v>46327</v>
      </c>
      <c r="E359" s="107">
        <v>46346</v>
      </c>
      <c r="F359" s="107"/>
      <c r="G359" s="107"/>
      <c r="H359" s="108"/>
    </row>
    <row r="360" spans="2:8" ht="18" customHeight="1" x14ac:dyDescent="0.35">
      <c r="B360" s="23" t="str">
        <f t="shared" si="50"/>
        <v>IDE024</v>
      </c>
      <c r="C360" s="82" t="s">
        <v>244</v>
      </c>
      <c r="D360" s="107">
        <v>46347</v>
      </c>
      <c r="E360" s="107">
        <v>46366</v>
      </c>
      <c r="F360" s="107"/>
      <c r="G360" s="107"/>
      <c r="H360" s="108"/>
    </row>
    <row r="361" spans="2:8" ht="18" customHeight="1" x14ac:dyDescent="0.35">
      <c r="B361" s="23" t="str">
        <f t="shared" si="50"/>
        <v>IDE024</v>
      </c>
      <c r="C361" s="83" t="s">
        <v>245</v>
      </c>
      <c r="D361" s="107">
        <v>46367</v>
      </c>
      <c r="E361" s="107">
        <v>46387</v>
      </c>
      <c r="F361" s="107"/>
      <c r="G361" s="107"/>
      <c r="H361" s="108"/>
    </row>
    <row r="362" spans="2:8" ht="18" customHeight="1" x14ac:dyDescent="0.35">
      <c r="B362" s="23" t="str">
        <f>"IDE"&amp;TEXT(ROW(A$25),"000")</f>
        <v>IDE025</v>
      </c>
      <c r="C362" s="33" t="s">
        <v>239</v>
      </c>
      <c r="D362" s="107">
        <v>46266</v>
      </c>
      <c r="E362" s="107">
        <v>46280</v>
      </c>
      <c r="F362" s="107"/>
      <c r="G362" s="107"/>
      <c r="H362" s="108"/>
    </row>
    <row r="363" spans="2:8" ht="18" customHeight="1" x14ac:dyDescent="0.35">
      <c r="B363" s="23" t="str">
        <f t="shared" ref="B363:B368" si="51">"IDE"&amp;TEXT(ROW(A$25),"000")</f>
        <v>IDE025</v>
      </c>
      <c r="C363" s="33" t="s">
        <v>240</v>
      </c>
      <c r="D363" s="107">
        <v>46275</v>
      </c>
      <c r="E363" s="107">
        <v>46295</v>
      </c>
      <c r="F363" s="107"/>
      <c r="G363" s="107"/>
      <c r="H363" s="108"/>
    </row>
    <row r="364" spans="2:8" ht="18" customHeight="1" x14ac:dyDescent="0.35">
      <c r="B364" s="23" t="str">
        <f t="shared" si="51"/>
        <v>IDE025</v>
      </c>
      <c r="C364" s="82" t="s">
        <v>241</v>
      </c>
      <c r="D364" s="107">
        <v>46296</v>
      </c>
      <c r="E364" s="107">
        <v>46326</v>
      </c>
      <c r="F364" s="107"/>
      <c r="G364" s="107"/>
      <c r="H364" s="108"/>
    </row>
    <row r="365" spans="2:8" ht="18" customHeight="1" x14ac:dyDescent="0.35">
      <c r="B365" s="23" t="str">
        <f t="shared" si="51"/>
        <v>IDE025</v>
      </c>
      <c r="C365" s="82" t="s">
        <v>242</v>
      </c>
      <c r="D365" s="107">
        <v>46315</v>
      </c>
      <c r="E365" s="107">
        <v>46336</v>
      </c>
      <c r="F365" s="107"/>
      <c r="G365" s="107"/>
      <c r="H365" s="108"/>
    </row>
    <row r="366" spans="2:8" ht="18" customHeight="1" x14ac:dyDescent="0.35">
      <c r="B366" s="23" t="str">
        <f t="shared" si="51"/>
        <v>IDE025</v>
      </c>
      <c r="C366" s="82" t="s">
        <v>243</v>
      </c>
      <c r="D366" s="107">
        <v>46327</v>
      </c>
      <c r="E366" s="107">
        <v>46346</v>
      </c>
      <c r="F366" s="107"/>
      <c r="G366" s="107"/>
      <c r="H366" s="108"/>
    </row>
    <row r="367" spans="2:8" ht="18" customHeight="1" x14ac:dyDescent="0.35">
      <c r="B367" s="23" t="str">
        <f t="shared" si="51"/>
        <v>IDE025</v>
      </c>
      <c r="C367" s="82" t="s">
        <v>244</v>
      </c>
      <c r="D367" s="107">
        <v>46347</v>
      </c>
      <c r="E367" s="107">
        <v>46366</v>
      </c>
      <c r="F367" s="107"/>
      <c r="G367" s="107"/>
      <c r="H367" s="108"/>
    </row>
    <row r="368" spans="2:8" ht="18" customHeight="1" x14ac:dyDescent="0.35">
      <c r="B368" s="23" t="str">
        <f t="shared" si="51"/>
        <v>IDE025</v>
      </c>
      <c r="C368" s="83" t="s">
        <v>245</v>
      </c>
      <c r="D368" s="107">
        <v>46367</v>
      </c>
      <c r="E368" s="107">
        <v>46387</v>
      </c>
      <c r="F368" s="107"/>
      <c r="G368" s="107"/>
      <c r="H368" s="108"/>
    </row>
    <row r="369" spans="2:8" ht="18" customHeight="1" x14ac:dyDescent="0.35">
      <c r="B369" s="23" t="str">
        <f>"IDE"&amp;TEXT(ROW(A$26),"000")</f>
        <v>IDE026</v>
      </c>
      <c r="C369" s="20" t="s">
        <v>239</v>
      </c>
      <c r="D369" s="107">
        <v>46266</v>
      </c>
      <c r="E369" s="107">
        <v>46280</v>
      </c>
      <c r="F369" s="107"/>
      <c r="G369" s="105"/>
      <c r="H369" s="93"/>
    </row>
    <row r="370" spans="2:8" ht="18" customHeight="1" x14ac:dyDescent="0.35">
      <c r="B370" s="23" t="str">
        <f t="shared" ref="B370:B375" si="52">"IDE"&amp;TEXT(ROW(A$26),"000")</f>
        <v>IDE026</v>
      </c>
      <c r="C370" s="20" t="s">
        <v>240</v>
      </c>
      <c r="D370" s="107">
        <v>46275</v>
      </c>
      <c r="E370" s="107">
        <v>46295</v>
      </c>
      <c r="F370" s="107"/>
      <c r="G370" s="92"/>
      <c r="H370" s="93"/>
    </row>
    <row r="371" spans="2:8" ht="18" customHeight="1" x14ac:dyDescent="0.35">
      <c r="B371" s="23" t="str">
        <f t="shared" si="52"/>
        <v>IDE026</v>
      </c>
      <c r="C371" s="31" t="s">
        <v>241</v>
      </c>
      <c r="D371" s="107">
        <v>46296</v>
      </c>
      <c r="E371" s="107">
        <v>46326</v>
      </c>
      <c r="F371" s="107"/>
      <c r="G371" s="92"/>
      <c r="H371" s="93"/>
    </row>
    <row r="372" spans="2:8" ht="18" customHeight="1" x14ac:dyDescent="0.35">
      <c r="B372" s="23" t="str">
        <f t="shared" si="52"/>
        <v>IDE026</v>
      </c>
      <c r="C372" s="31" t="s">
        <v>242</v>
      </c>
      <c r="D372" s="107">
        <v>46315</v>
      </c>
      <c r="E372" s="107">
        <v>46336</v>
      </c>
      <c r="F372" s="107"/>
      <c r="G372" s="92"/>
      <c r="H372" s="93"/>
    </row>
    <row r="373" spans="2:8" ht="18" customHeight="1" x14ac:dyDescent="0.35">
      <c r="B373" s="23" t="str">
        <f t="shared" si="52"/>
        <v>IDE026</v>
      </c>
      <c r="C373" s="31" t="s">
        <v>243</v>
      </c>
      <c r="D373" s="107">
        <v>46327</v>
      </c>
      <c r="E373" s="107">
        <v>46346</v>
      </c>
      <c r="F373" s="107"/>
      <c r="G373" s="92"/>
      <c r="H373" s="93"/>
    </row>
    <row r="374" spans="2:8" ht="18" customHeight="1" x14ac:dyDescent="0.35">
      <c r="B374" s="23" t="str">
        <f t="shared" si="52"/>
        <v>IDE026</v>
      </c>
      <c r="C374" s="31" t="s">
        <v>244</v>
      </c>
      <c r="D374" s="107">
        <v>46347</v>
      </c>
      <c r="E374" s="107">
        <v>46366</v>
      </c>
      <c r="F374" s="107"/>
      <c r="G374" s="92"/>
      <c r="H374" s="93"/>
    </row>
    <row r="375" spans="2:8" ht="18" customHeight="1" x14ac:dyDescent="0.35">
      <c r="B375" s="23" t="str">
        <f t="shared" si="52"/>
        <v>IDE026</v>
      </c>
      <c r="C375" s="76" t="s">
        <v>245</v>
      </c>
      <c r="D375" s="109">
        <v>46367</v>
      </c>
      <c r="E375" s="109">
        <v>46387</v>
      </c>
      <c r="F375" s="109"/>
      <c r="G375" s="94"/>
      <c r="H375" s="93"/>
    </row>
    <row r="376" spans="2:8" ht="18" customHeight="1" x14ac:dyDescent="0.35">
      <c r="B376" s="23" t="str">
        <f>"IDS"&amp;TEXT(ROW(A$1),"000")</f>
        <v>IDS001</v>
      </c>
      <c r="C376" s="33" t="s">
        <v>239</v>
      </c>
      <c r="D376" s="107">
        <v>46023</v>
      </c>
      <c r="E376" s="107">
        <v>46053</v>
      </c>
      <c r="F376" s="107"/>
      <c r="G376" s="107"/>
      <c r="H376" s="108"/>
    </row>
    <row r="377" spans="2:8" ht="18" customHeight="1" x14ac:dyDescent="0.35">
      <c r="B377" s="23" t="str">
        <f t="shared" ref="B377:B382" si="53">"IDS"&amp;TEXT(ROW(A$1),"000")</f>
        <v>IDS001</v>
      </c>
      <c r="C377" s="33" t="s">
        <v>240</v>
      </c>
      <c r="D377" s="107">
        <v>46037</v>
      </c>
      <c r="E377" s="107">
        <v>46081</v>
      </c>
      <c r="F377" s="107"/>
      <c r="G377" s="107"/>
      <c r="H377" s="108"/>
    </row>
    <row r="378" spans="2:8" ht="18" customHeight="1" x14ac:dyDescent="0.35">
      <c r="B378" s="23" t="str">
        <f t="shared" si="53"/>
        <v>IDS001</v>
      </c>
      <c r="C378" s="82" t="s">
        <v>241</v>
      </c>
      <c r="D378" s="107">
        <v>46082</v>
      </c>
      <c r="E378" s="107">
        <v>46173</v>
      </c>
      <c r="F378" s="107"/>
      <c r="G378" s="107"/>
      <c r="H378" s="108"/>
    </row>
    <row r="379" spans="2:8" ht="18" customHeight="1" x14ac:dyDescent="0.35">
      <c r="B379" s="23" t="str">
        <f t="shared" si="53"/>
        <v>IDS001</v>
      </c>
      <c r="C379" s="82" t="s">
        <v>242</v>
      </c>
      <c r="D379" s="107">
        <v>46174</v>
      </c>
      <c r="E379" s="107">
        <v>46203</v>
      </c>
      <c r="F379" s="107"/>
      <c r="G379" s="107"/>
      <c r="H379" s="108"/>
    </row>
    <row r="380" spans="2:8" ht="18" customHeight="1" x14ac:dyDescent="0.35">
      <c r="B380" s="23" t="str">
        <f t="shared" si="53"/>
        <v>IDS001</v>
      </c>
      <c r="C380" s="82" t="s">
        <v>243</v>
      </c>
      <c r="D380" s="107">
        <v>46204</v>
      </c>
      <c r="E380" s="107">
        <v>46234</v>
      </c>
      <c r="F380" s="107"/>
      <c r="G380" s="107"/>
      <c r="H380" s="108"/>
    </row>
    <row r="381" spans="2:8" ht="18" customHeight="1" x14ac:dyDescent="0.35">
      <c r="B381" s="23" t="str">
        <f t="shared" si="53"/>
        <v>IDS001</v>
      </c>
      <c r="C381" s="82" t="s">
        <v>244</v>
      </c>
      <c r="D381" s="107">
        <v>46235</v>
      </c>
      <c r="E381" s="107">
        <v>46265</v>
      </c>
      <c r="F381" s="107"/>
      <c r="G381" s="107"/>
      <c r="H381" s="108"/>
    </row>
    <row r="382" spans="2:8" ht="18" customHeight="1" x14ac:dyDescent="0.35">
      <c r="B382" s="23" t="str">
        <f t="shared" si="53"/>
        <v>IDS001</v>
      </c>
      <c r="C382" s="83" t="s">
        <v>245</v>
      </c>
      <c r="D382" s="107">
        <v>46266</v>
      </c>
      <c r="E382" s="107">
        <v>46387</v>
      </c>
      <c r="F382" s="107"/>
      <c r="G382" s="107"/>
      <c r="H382" s="108"/>
    </row>
    <row r="383" spans="2:8" ht="18" customHeight="1" x14ac:dyDescent="0.35">
      <c r="B383" s="23" t="str">
        <f>"IDS"&amp;TEXT(ROW(A$2),"000")</f>
        <v>IDS002</v>
      </c>
      <c r="C383" s="33" t="s">
        <v>239</v>
      </c>
      <c r="D383" s="107">
        <v>46023</v>
      </c>
      <c r="E383" s="107">
        <v>46053</v>
      </c>
      <c r="F383" s="107"/>
      <c r="G383" s="107"/>
      <c r="H383" s="108"/>
    </row>
    <row r="384" spans="2:8" ht="18" customHeight="1" x14ac:dyDescent="0.35">
      <c r="B384" s="23" t="str">
        <f t="shared" ref="B384:B389" si="54">"IDS"&amp;TEXT(ROW(A$2),"000")</f>
        <v>IDS002</v>
      </c>
      <c r="C384" s="33" t="s">
        <v>240</v>
      </c>
      <c r="D384" s="107">
        <v>46037</v>
      </c>
      <c r="E384" s="107">
        <v>46081</v>
      </c>
      <c r="F384" s="107"/>
      <c r="G384" s="107"/>
      <c r="H384" s="108"/>
    </row>
    <row r="385" spans="2:8" ht="18" customHeight="1" x14ac:dyDescent="0.35">
      <c r="B385" s="23" t="str">
        <f t="shared" si="54"/>
        <v>IDS002</v>
      </c>
      <c r="C385" s="82" t="s">
        <v>241</v>
      </c>
      <c r="D385" s="107">
        <v>46082</v>
      </c>
      <c r="E385" s="107">
        <v>46173</v>
      </c>
      <c r="F385" s="107"/>
      <c r="G385" s="107"/>
      <c r="H385" s="108"/>
    </row>
    <row r="386" spans="2:8" ht="18" customHeight="1" x14ac:dyDescent="0.35">
      <c r="B386" s="23" t="str">
        <f t="shared" si="54"/>
        <v>IDS002</v>
      </c>
      <c r="C386" s="82" t="s">
        <v>242</v>
      </c>
      <c r="D386" s="107">
        <v>46174</v>
      </c>
      <c r="E386" s="107">
        <v>46203</v>
      </c>
      <c r="F386" s="107"/>
      <c r="G386" s="107"/>
      <c r="H386" s="108"/>
    </row>
    <row r="387" spans="2:8" ht="18" customHeight="1" x14ac:dyDescent="0.35">
      <c r="B387" s="23" t="str">
        <f t="shared" si="54"/>
        <v>IDS002</v>
      </c>
      <c r="C387" s="82" t="s">
        <v>243</v>
      </c>
      <c r="D387" s="107">
        <v>46204</v>
      </c>
      <c r="E387" s="107">
        <v>46234</v>
      </c>
      <c r="F387" s="107"/>
      <c r="G387" s="107"/>
      <c r="H387" s="108"/>
    </row>
    <row r="388" spans="2:8" ht="18" customHeight="1" x14ac:dyDescent="0.35">
      <c r="B388" s="23" t="str">
        <f t="shared" si="54"/>
        <v>IDS002</v>
      </c>
      <c r="C388" s="82" t="s">
        <v>244</v>
      </c>
      <c r="D388" s="107">
        <v>46235</v>
      </c>
      <c r="E388" s="107">
        <v>46265</v>
      </c>
      <c r="F388" s="107"/>
      <c r="G388" s="107"/>
      <c r="H388" s="108"/>
    </row>
    <row r="389" spans="2:8" ht="18" customHeight="1" x14ac:dyDescent="0.35">
      <c r="B389" s="23" t="str">
        <f t="shared" si="54"/>
        <v>IDS002</v>
      </c>
      <c r="C389" s="83" t="s">
        <v>245</v>
      </c>
      <c r="D389" s="107">
        <v>46266</v>
      </c>
      <c r="E389" s="107">
        <v>46387</v>
      </c>
      <c r="F389" s="107"/>
      <c r="G389" s="107"/>
      <c r="H389" s="108"/>
    </row>
    <row r="390" spans="2:8" ht="18" customHeight="1" x14ac:dyDescent="0.35">
      <c r="B390" s="23" t="str">
        <f>"IDS"&amp;TEXT(ROW(A$3),"000")</f>
        <v>IDS003</v>
      </c>
      <c r="C390" s="33" t="s">
        <v>239</v>
      </c>
      <c r="D390" s="107">
        <v>46023</v>
      </c>
      <c r="E390" s="107">
        <v>46053</v>
      </c>
      <c r="F390" s="107"/>
      <c r="G390" s="107"/>
      <c r="H390" s="108"/>
    </row>
    <row r="391" spans="2:8" ht="18" customHeight="1" x14ac:dyDescent="0.35">
      <c r="B391" s="23" t="str">
        <f t="shared" ref="B391:B396" si="55">"IDS"&amp;TEXT(ROW(A$3),"000")</f>
        <v>IDS003</v>
      </c>
      <c r="C391" s="33" t="s">
        <v>240</v>
      </c>
      <c r="D391" s="107">
        <v>46037</v>
      </c>
      <c r="E391" s="107">
        <v>46068</v>
      </c>
      <c r="F391" s="107"/>
      <c r="G391" s="107"/>
      <c r="H391" s="108"/>
    </row>
    <row r="392" spans="2:8" ht="18" customHeight="1" x14ac:dyDescent="0.35">
      <c r="B392" s="23" t="str">
        <f t="shared" si="55"/>
        <v>IDS003</v>
      </c>
      <c r="C392" s="82" t="s">
        <v>241</v>
      </c>
      <c r="D392" s="107">
        <v>46054</v>
      </c>
      <c r="E392" s="107">
        <v>46112</v>
      </c>
      <c r="F392" s="107"/>
      <c r="G392" s="107"/>
      <c r="H392" s="108"/>
    </row>
    <row r="393" spans="2:8" ht="18" customHeight="1" x14ac:dyDescent="0.35">
      <c r="B393" s="23" t="str">
        <f t="shared" si="55"/>
        <v>IDS003</v>
      </c>
      <c r="C393" s="82" t="s">
        <v>242</v>
      </c>
      <c r="D393" s="107">
        <v>46096</v>
      </c>
      <c r="E393" s="107">
        <v>46127</v>
      </c>
      <c r="F393" s="107"/>
      <c r="G393" s="107"/>
      <c r="H393" s="108"/>
    </row>
    <row r="394" spans="2:8" ht="18" customHeight="1" x14ac:dyDescent="0.35">
      <c r="B394" s="23" t="str">
        <f t="shared" si="55"/>
        <v>IDS003</v>
      </c>
      <c r="C394" s="82" t="s">
        <v>243</v>
      </c>
      <c r="D394" s="107">
        <v>46113</v>
      </c>
      <c r="E394" s="107">
        <v>46142</v>
      </c>
      <c r="F394" s="107"/>
      <c r="G394" s="107"/>
      <c r="H394" s="108"/>
    </row>
    <row r="395" spans="2:8" ht="18" customHeight="1" x14ac:dyDescent="0.35">
      <c r="B395" s="23" t="str">
        <f t="shared" si="55"/>
        <v>IDS003</v>
      </c>
      <c r="C395" s="82" t="s">
        <v>244</v>
      </c>
      <c r="D395" s="107">
        <v>46143</v>
      </c>
      <c r="E395" s="107">
        <v>46173</v>
      </c>
      <c r="F395" s="107"/>
      <c r="G395" s="107"/>
      <c r="H395" s="108"/>
    </row>
    <row r="396" spans="2:8" ht="18" customHeight="1" x14ac:dyDescent="0.35">
      <c r="B396" s="23" t="str">
        <f t="shared" si="55"/>
        <v>IDS003</v>
      </c>
      <c r="C396" s="83" t="s">
        <v>245</v>
      </c>
      <c r="D396" s="107">
        <v>46174</v>
      </c>
      <c r="E396" s="107">
        <v>46203</v>
      </c>
      <c r="F396" s="107"/>
      <c r="G396" s="107"/>
      <c r="H396" s="108"/>
    </row>
    <row r="397" spans="2:8" ht="18" customHeight="1" x14ac:dyDescent="0.35">
      <c r="B397" s="23" t="str">
        <f>"IDS"&amp;TEXT(ROW(A$4),"000")</f>
        <v>IDS004</v>
      </c>
      <c r="C397" s="33" t="s">
        <v>239</v>
      </c>
      <c r="D397" s="107">
        <v>46143</v>
      </c>
      <c r="E397" s="107">
        <v>46173</v>
      </c>
      <c r="F397" s="107"/>
      <c r="G397" s="107"/>
      <c r="H397" s="108"/>
    </row>
    <row r="398" spans="2:8" ht="18" customHeight="1" x14ac:dyDescent="0.35">
      <c r="B398" s="23" t="str">
        <f t="shared" ref="B398:B403" si="56">"IDS"&amp;TEXT(ROW(A$4),"000")</f>
        <v>IDS004</v>
      </c>
      <c r="C398" s="33" t="s">
        <v>240</v>
      </c>
      <c r="D398" s="107">
        <v>46157</v>
      </c>
      <c r="E398" s="107">
        <v>46188</v>
      </c>
      <c r="F398" s="107"/>
      <c r="G398" s="107"/>
      <c r="H398" s="108"/>
    </row>
    <row r="399" spans="2:8" ht="18" customHeight="1" x14ac:dyDescent="0.35">
      <c r="B399" s="23" t="str">
        <f t="shared" si="56"/>
        <v>IDS004</v>
      </c>
      <c r="C399" s="82" t="s">
        <v>241</v>
      </c>
      <c r="D399" s="107">
        <v>46174</v>
      </c>
      <c r="E399" s="107">
        <v>46234</v>
      </c>
      <c r="F399" s="107"/>
      <c r="G399" s="107"/>
      <c r="H399" s="108"/>
    </row>
    <row r="400" spans="2:8" ht="18" customHeight="1" x14ac:dyDescent="0.35">
      <c r="B400" s="23" t="str">
        <f t="shared" si="56"/>
        <v>IDS004</v>
      </c>
      <c r="C400" s="82" t="s">
        <v>242</v>
      </c>
      <c r="D400" s="107">
        <v>46218</v>
      </c>
      <c r="E400" s="107">
        <v>46234</v>
      </c>
      <c r="F400" s="107"/>
      <c r="G400" s="107"/>
      <c r="H400" s="108"/>
    </row>
    <row r="401" spans="2:8" ht="18" customHeight="1" x14ac:dyDescent="0.35">
      <c r="B401" s="23" t="str">
        <f t="shared" si="56"/>
        <v>IDS004</v>
      </c>
      <c r="C401" s="82" t="s">
        <v>243</v>
      </c>
      <c r="D401" s="107">
        <v>46235</v>
      </c>
      <c r="E401" s="107">
        <v>46265</v>
      </c>
      <c r="F401" s="107"/>
      <c r="G401" s="107"/>
      <c r="H401" s="108"/>
    </row>
    <row r="402" spans="2:8" ht="18" customHeight="1" x14ac:dyDescent="0.35">
      <c r="B402" s="23" t="str">
        <f t="shared" si="56"/>
        <v>IDS004</v>
      </c>
      <c r="C402" s="82" t="s">
        <v>244</v>
      </c>
      <c r="D402" s="107">
        <v>46266</v>
      </c>
      <c r="E402" s="107">
        <v>46295</v>
      </c>
      <c r="F402" s="107"/>
      <c r="G402" s="107"/>
      <c r="H402" s="108"/>
    </row>
    <row r="403" spans="2:8" ht="18" customHeight="1" x14ac:dyDescent="0.35">
      <c r="B403" s="23" t="str">
        <f t="shared" si="56"/>
        <v>IDS004</v>
      </c>
      <c r="C403" s="83" t="s">
        <v>245</v>
      </c>
      <c r="D403" s="107">
        <v>46296</v>
      </c>
      <c r="E403" s="107">
        <v>46387</v>
      </c>
      <c r="F403" s="107"/>
      <c r="G403" s="107"/>
      <c r="H403" s="108"/>
    </row>
    <row r="404" spans="2:8" ht="18" customHeight="1" x14ac:dyDescent="0.35">
      <c r="B404" s="23" t="str">
        <f>"IDS"&amp;TEXT(ROW(A$5),"000")</f>
        <v>IDS005</v>
      </c>
      <c r="C404" s="33" t="s">
        <v>239</v>
      </c>
      <c r="D404" s="107">
        <v>46143</v>
      </c>
      <c r="E404" s="107">
        <v>46173</v>
      </c>
      <c r="F404" s="107"/>
      <c r="G404" s="107"/>
      <c r="H404" s="108"/>
    </row>
    <row r="405" spans="2:8" ht="18" customHeight="1" x14ac:dyDescent="0.35">
      <c r="B405" s="23" t="str">
        <f t="shared" ref="B405:B410" si="57">"IDS"&amp;TEXT(ROW(A$5),"000")</f>
        <v>IDS005</v>
      </c>
      <c r="C405" s="33" t="s">
        <v>240</v>
      </c>
      <c r="D405" s="107">
        <v>46157</v>
      </c>
      <c r="E405" s="107">
        <v>46188</v>
      </c>
      <c r="F405" s="107"/>
      <c r="G405" s="107"/>
      <c r="H405" s="108"/>
    </row>
    <row r="406" spans="2:8" ht="18" customHeight="1" x14ac:dyDescent="0.35">
      <c r="B406" s="23" t="str">
        <f t="shared" si="57"/>
        <v>IDS005</v>
      </c>
      <c r="C406" s="82" t="s">
        <v>241</v>
      </c>
      <c r="D406" s="107">
        <v>46174</v>
      </c>
      <c r="E406" s="107">
        <v>46234</v>
      </c>
      <c r="F406" s="107"/>
      <c r="G406" s="107"/>
      <c r="H406" s="108"/>
    </row>
    <row r="407" spans="2:8" ht="18" customHeight="1" x14ac:dyDescent="0.35">
      <c r="B407" s="23" t="str">
        <f t="shared" si="57"/>
        <v>IDS005</v>
      </c>
      <c r="C407" s="82" t="s">
        <v>242</v>
      </c>
      <c r="D407" s="107">
        <v>46218</v>
      </c>
      <c r="E407" s="107">
        <v>46234</v>
      </c>
      <c r="F407" s="107"/>
      <c r="G407" s="107"/>
      <c r="H407" s="108"/>
    </row>
    <row r="408" spans="2:8" ht="18" customHeight="1" x14ac:dyDescent="0.35">
      <c r="B408" s="23" t="str">
        <f t="shared" si="57"/>
        <v>IDS005</v>
      </c>
      <c r="C408" s="82" t="s">
        <v>243</v>
      </c>
      <c r="D408" s="107">
        <v>46235</v>
      </c>
      <c r="E408" s="107">
        <v>46265</v>
      </c>
      <c r="F408" s="107"/>
      <c r="G408" s="107"/>
      <c r="H408" s="108"/>
    </row>
    <row r="409" spans="2:8" ht="18" customHeight="1" x14ac:dyDescent="0.35">
      <c r="B409" s="23" t="str">
        <f t="shared" si="57"/>
        <v>IDS005</v>
      </c>
      <c r="C409" s="82" t="s">
        <v>244</v>
      </c>
      <c r="D409" s="107">
        <v>46266</v>
      </c>
      <c r="E409" s="107">
        <v>46280</v>
      </c>
      <c r="F409" s="107"/>
      <c r="G409" s="107"/>
      <c r="H409" s="108"/>
    </row>
    <row r="410" spans="2:8" ht="18" customHeight="1" x14ac:dyDescent="0.35">
      <c r="B410" s="23" t="str">
        <f t="shared" si="57"/>
        <v>IDS005</v>
      </c>
      <c r="C410" s="83" t="s">
        <v>245</v>
      </c>
      <c r="D410" s="107">
        <v>46281</v>
      </c>
      <c r="E410" s="107">
        <v>46326</v>
      </c>
      <c r="F410" s="107"/>
      <c r="G410" s="107"/>
      <c r="H410" s="108"/>
    </row>
    <row r="411" spans="2:8" ht="18" customHeight="1" x14ac:dyDescent="0.35">
      <c r="B411" s="23" t="str">
        <f>"IDS"&amp;TEXT(ROW(A$6),"000")</f>
        <v>IDS006</v>
      </c>
      <c r="C411" s="33" t="s">
        <v>239</v>
      </c>
      <c r="D411" s="107">
        <v>46143</v>
      </c>
      <c r="E411" s="107">
        <v>46173</v>
      </c>
      <c r="F411" s="107"/>
      <c r="G411" s="107"/>
      <c r="H411" s="108"/>
    </row>
    <row r="412" spans="2:8" ht="18" customHeight="1" x14ac:dyDescent="0.35">
      <c r="B412" s="23" t="str">
        <f t="shared" ref="B412:B417" si="58">"IDS"&amp;TEXT(ROW(A$6),"000")</f>
        <v>IDS006</v>
      </c>
      <c r="C412" s="33" t="s">
        <v>240</v>
      </c>
      <c r="D412" s="107">
        <v>46157</v>
      </c>
      <c r="E412" s="107">
        <v>46188</v>
      </c>
      <c r="F412" s="107"/>
      <c r="G412" s="107"/>
      <c r="H412" s="108"/>
    </row>
    <row r="413" spans="2:8" ht="18" customHeight="1" x14ac:dyDescent="0.35">
      <c r="B413" s="23" t="str">
        <f t="shared" si="58"/>
        <v>IDS006</v>
      </c>
      <c r="C413" s="82" t="s">
        <v>241</v>
      </c>
      <c r="D413" s="107">
        <v>46174</v>
      </c>
      <c r="E413" s="107">
        <v>46234</v>
      </c>
      <c r="F413" s="107"/>
      <c r="G413" s="107"/>
      <c r="H413" s="108"/>
    </row>
    <row r="414" spans="2:8" ht="18" customHeight="1" x14ac:dyDescent="0.35">
      <c r="B414" s="23" t="str">
        <f t="shared" si="58"/>
        <v>IDS006</v>
      </c>
      <c r="C414" s="82" t="s">
        <v>242</v>
      </c>
      <c r="D414" s="107">
        <v>46218</v>
      </c>
      <c r="E414" s="107">
        <v>46234</v>
      </c>
      <c r="F414" s="107"/>
      <c r="G414" s="107"/>
      <c r="H414" s="108"/>
    </row>
    <row r="415" spans="2:8" ht="18" customHeight="1" x14ac:dyDescent="0.35">
      <c r="B415" s="23" t="str">
        <f t="shared" si="58"/>
        <v>IDS006</v>
      </c>
      <c r="C415" s="82" t="s">
        <v>243</v>
      </c>
      <c r="D415" s="107">
        <v>46235</v>
      </c>
      <c r="E415" s="107">
        <v>46265</v>
      </c>
      <c r="F415" s="107"/>
      <c r="G415" s="107"/>
      <c r="H415" s="108"/>
    </row>
    <row r="416" spans="2:8" ht="18" customHeight="1" x14ac:dyDescent="0.35">
      <c r="B416" s="23" t="str">
        <f t="shared" si="58"/>
        <v>IDS006</v>
      </c>
      <c r="C416" s="82" t="s">
        <v>244</v>
      </c>
      <c r="D416" s="107">
        <v>46266</v>
      </c>
      <c r="E416" s="107">
        <v>46280</v>
      </c>
      <c r="F416" s="107"/>
      <c r="G416" s="107"/>
      <c r="H416" s="108"/>
    </row>
    <row r="417" spans="2:8" ht="18" customHeight="1" x14ac:dyDescent="0.35">
      <c r="B417" s="23" t="str">
        <f t="shared" si="58"/>
        <v>IDS006</v>
      </c>
      <c r="C417" s="83" t="s">
        <v>245</v>
      </c>
      <c r="D417" s="107">
        <v>46281</v>
      </c>
      <c r="E417" s="107">
        <v>46326</v>
      </c>
      <c r="F417" s="107"/>
      <c r="G417" s="107"/>
      <c r="H417" s="108"/>
    </row>
    <row r="418" spans="2:8" ht="18" customHeight="1" x14ac:dyDescent="0.35">
      <c r="B418" s="23" t="str">
        <f>"IDS"&amp;TEXT(ROW(A$7),"000")</f>
        <v>IDS007</v>
      </c>
      <c r="C418" s="33" t="s">
        <v>239</v>
      </c>
      <c r="D418" s="107">
        <v>46143</v>
      </c>
      <c r="E418" s="107">
        <v>46173</v>
      </c>
      <c r="F418" s="107"/>
      <c r="G418" s="107"/>
      <c r="H418" s="108"/>
    </row>
    <row r="419" spans="2:8" ht="18" customHeight="1" x14ac:dyDescent="0.35">
      <c r="B419" s="23" t="str">
        <f t="shared" ref="B419:B424" si="59">"IDS"&amp;TEXT(ROW(A$7),"000")</f>
        <v>IDS007</v>
      </c>
      <c r="C419" s="33" t="s">
        <v>240</v>
      </c>
      <c r="D419" s="107">
        <v>46157</v>
      </c>
      <c r="E419" s="107">
        <v>46188</v>
      </c>
      <c r="F419" s="107"/>
      <c r="G419" s="107"/>
      <c r="H419" s="108"/>
    </row>
    <row r="420" spans="2:8" ht="18" customHeight="1" x14ac:dyDescent="0.35">
      <c r="B420" s="23" t="str">
        <f t="shared" si="59"/>
        <v>IDS007</v>
      </c>
      <c r="C420" s="82" t="s">
        <v>241</v>
      </c>
      <c r="D420" s="107">
        <v>46174</v>
      </c>
      <c r="E420" s="107">
        <v>46234</v>
      </c>
      <c r="F420" s="107"/>
      <c r="G420" s="107"/>
      <c r="H420" s="108"/>
    </row>
    <row r="421" spans="2:8" ht="18" customHeight="1" x14ac:dyDescent="0.35">
      <c r="B421" s="23" t="str">
        <f t="shared" si="59"/>
        <v>IDS007</v>
      </c>
      <c r="C421" s="82" t="s">
        <v>242</v>
      </c>
      <c r="D421" s="107">
        <v>46218</v>
      </c>
      <c r="E421" s="107">
        <v>46234</v>
      </c>
      <c r="F421" s="107"/>
      <c r="G421" s="107"/>
      <c r="H421" s="108"/>
    </row>
    <row r="422" spans="2:8" ht="18" customHeight="1" x14ac:dyDescent="0.35">
      <c r="B422" s="23" t="str">
        <f t="shared" si="59"/>
        <v>IDS007</v>
      </c>
      <c r="C422" s="82" t="s">
        <v>243</v>
      </c>
      <c r="D422" s="107">
        <v>46235</v>
      </c>
      <c r="E422" s="107">
        <v>46265</v>
      </c>
      <c r="F422" s="107"/>
      <c r="G422" s="107"/>
      <c r="H422" s="108"/>
    </row>
    <row r="423" spans="2:8" ht="18" customHeight="1" x14ac:dyDescent="0.35">
      <c r="B423" s="23" t="str">
        <f t="shared" si="59"/>
        <v>IDS007</v>
      </c>
      <c r="C423" s="82" t="s">
        <v>244</v>
      </c>
      <c r="D423" s="107">
        <v>46266</v>
      </c>
      <c r="E423" s="107">
        <v>46280</v>
      </c>
      <c r="F423" s="107"/>
      <c r="G423" s="107"/>
      <c r="H423" s="108"/>
    </row>
    <row r="424" spans="2:8" ht="18" customHeight="1" x14ac:dyDescent="0.35">
      <c r="B424" s="23" t="str">
        <f t="shared" si="59"/>
        <v>IDS007</v>
      </c>
      <c r="C424" s="83" t="s">
        <v>245</v>
      </c>
      <c r="D424" s="107">
        <v>46281</v>
      </c>
      <c r="E424" s="107">
        <v>46326</v>
      </c>
      <c r="F424" s="107"/>
      <c r="G424" s="107"/>
      <c r="H424" s="108"/>
    </row>
    <row r="425" spans="2:8" ht="18" customHeight="1" x14ac:dyDescent="0.35">
      <c r="B425" s="23" t="str">
        <f>"IDS"&amp;TEXT(ROW(A$8),"000")</f>
        <v>IDS008</v>
      </c>
      <c r="C425" s="33" t="s">
        <v>239</v>
      </c>
      <c r="D425" s="107">
        <v>46143</v>
      </c>
      <c r="E425" s="107">
        <v>46173</v>
      </c>
      <c r="F425" s="107"/>
      <c r="G425" s="107"/>
      <c r="H425" s="108"/>
    </row>
    <row r="426" spans="2:8" ht="18" customHeight="1" x14ac:dyDescent="0.35">
      <c r="B426" s="23" t="str">
        <f t="shared" ref="B426:B431" si="60">"IDS"&amp;TEXT(ROW(A$8),"000")</f>
        <v>IDS008</v>
      </c>
      <c r="C426" s="33" t="s">
        <v>240</v>
      </c>
      <c r="D426" s="107">
        <v>46157</v>
      </c>
      <c r="E426" s="107">
        <v>46188</v>
      </c>
      <c r="F426" s="107"/>
      <c r="G426" s="107"/>
      <c r="H426" s="108"/>
    </row>
    <row r="427" spans="2:8" ht="18" customHeight="1" x14ac:dyDescent="0.35">
      <c r="B427" s="23" t="str">
        <f t="shared" si="60"/>
        <v>IDS008</v>
      </c>
      <c r="C427" s="82" t="s">
        <v>241</v>
      </c>
      <c r="D427" s="107">
        <v>46174</v>
      </c>
      <c r="E427" s="107">
        <v>46234</v>
      </c>
      <c r="F427" s="107"/>
      <c r="G427" s="107"/>
      <c r="H427" s="108"/>
    </row>
    <row r="428" spans="2:8" ht="18" customHeight="1" x14ac:dyDescent="0.35">
      <c r="B428" s="23" t="str">
        <f t="shared" si="60"/>
        <v>IDS008</v>
      </c>
      <c r="C428" s="82" t="s">
        <v>242</v>
      </c>
      <c r="D428" s="107">
        <v>46218</v>
      </c>
      <c r="E428" s="107">
        <v>46234</v>
      </c>
      <c r="F428" s="107"/>
      <c r="G428" s="107"/>
      <c r="H428" s="108"/>
    </row>
    <row r="429" spans="2:8" ht="18" customHeight="1" x14ac:dyDescent="0.35">
      <c r="B429" s="23" t="str">
        <f t="shared" si="60"/>
        <v>IDS008</v>
      </c>
      <c r="C429" s="82" t="s">
        <v>243</v>
      </c>
      <c r="D429" s="107">
        <v>46235</v>
      </c>
      <c r="E429" s="107">
        <v>46265</v>
      </c>
      <c r="F429" s="107"/>
      <c r="G429" s="107"/>
      <c r="H429" s="108"/>
    </row>
    <row r="430" spans="2:8" ht="18" customHeight="1" x14ac:dyDescent="0.35">
      <c r="B430" s="23" t="str">
        <f t="shared" si="60"/>
        <v>IDS008</v>
      </c>
      <c r="C430" s="82" t="s">
        <v>244</v>
      </c>
      <c r="D430" s="107">
        <v>46266</v>
      </c>
      <c r="E430" s="107">
        <v>46280</v>
      </c>
      <c r="F430" s="107"/>
      <c r="G430" s="107"/>
      <c r="H430" s="108"/>
    </row>
    <row r="431" spans="2:8" ht="18" customHeight="1" x14ac:dyDescent="0.35">
      <c r="B431" s="77" t="str">
        <f t="shared" si="60"/>
        <v>IDS008</v>
      </c>
      <c r="C431" s="83" t="s">
        <v>245</v>
      </c>
      <c r="D431" s="109">
        <v>46281</v>
      </c>
      <c r="E431" s="109">
        <v>46326</v>
      </c>
      <c r="F431" s="109"/>
      <c r="G431" s="109"/>
      <c r="H431" s="110"/>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6B42BC90E439A4AB426192EDBA2ED56" ma:contentTypeVersion="3" ma:contentTypeDescription="Create a new document." ma:contentTypeScope="" ma:versionID="ffb0346ea1a701e352060eb358d69202">
  <xsd:schema xmlns:xsd="http://www.w3.org/2001/XMLSchema" xmlns:xs="http://www.w3.org/2001/XMLSchema" xmlns:p="http://schemas.microsoft.com/office/2006/metadata/properties" xmlns:ns2="17ecbab9-bfa3-4759-b26b-e80c278baf77" targetNamespace="http://schemas.microsoft.com/office/2006/metadata/properties" ma:root="true" ma:fieldsID="09e17336faee9adc3b4ca3e82be26c18" ns2:_="">
    <xsd:import namespace="17ecbab9-bfa3-4759-b26b-e80c278baf7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ecbab9-bfa3-4759-b26b-e80c278baf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DBFC411-6582-46C0-A218-9EA702FE1D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7ecbab9-bfa3-4759-b26b-e80c278baf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3E807CF-5C08-4FA4-98C2-628FB1116EEB}">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2303F05D-76EB-43B8-AA35-B6395B8651B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Group BPMB</vt:lpstr>
      <vt:lpstr>BPMB</vt:lpstr>
      <vt:lpstr>oriBPMB </vt:lpstr>
      <vt:lpstr>EXIM</vt:lpstr>
      <vt:lpstr>oriEXIM</vt:lpstr>
      <vt:lpstr>SME</vt:lpstr>
      <vt:lpstr>Phases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Muhamad Najib Zainal</dc:creator>
  <cp:keywords/>
  <dc:description/>
  <cp:lastModifiedBy>Nur Husnina Binti Rosli</cp:lastModifiedBy>
  <cp:revision/>
  <dcterms:created xsi:type="dcterms:W3CDTF">2026-05-15T10:25:20Z</dcterms:created>
  <dcterms:modified xsi:type="dcterms:W3CDTF">2026-09-08T07:35:23Z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0x01010066B42BC90E439A4AB426192EDBA2ED56</vt:lpwstr>
  </property>
  <property fmtid="{D5CDD505-2E9C-101B-9397-08002B2CF9AE}" pid="3" name="MSIP_Label_98354761-0305-4995-88f7-0964ec9cf6af_Enabled">
    <vt:lpwstr>true</vt:lpwstr>
  </property>
  <property fmtid="{D5CDD505-2E9C-101B-9397-08002B2CF9AE}" pid="4" name="MSIP_Label_98354761-0305-4995-88f7-0964ec9cf6af_SetDate">
    <vt:lpwstr>2026-07-13T09:08:20Z</vt:lpwstr>
  </property>
  <property fmtid="{D5CDD505-2E9C-101B-9397-08002B2CF9AE}" pid="5" name="MSIP_Label_98354761-0305-4995-88f7-0964ec9cf6af_Method">
    <vt:lpwstr>Standard</vt:lpwstr>
  </property>
  <property fmtid="{D5CDD505-2E9C-101B-9397-08002B2CF9AE}" pid="6" name="MSIP_Label_98354761-0305-4995-88f7-0964ec9cf6af_Name">
    <vt:lpwstr>BPMB Confidential (Default)</vt:lpwstr>
  </property>
  <property fmtid="{D5CDD505-2E9C-101B-9397-08002B2CF9AE}" pid="7" name="MSIP_Label_98354761-0305-4995-88f7-0964ec9cf6af_SiteId">
    <vt:lpwstr>346bbbe3-23c6-49d8-8843-e1f2bb3458f4</vt:lpwstr>
  </property>
  <property fmtid="{D5CDD505-2E9C-101B-9397-08002B2CF9AE}" pid="8" name="MSIP_Label_98354761-0305-4995-88f7-0964ec9cf6af_ActionId">
    <vt:lpwstr>8106efcf-1a9b-49c6-8c44-c83f8066fec3</vt:lpwstr>
  </property>
  <property fmtid="{D5CDD505-2E9C-101B-9397-08002B2CF9AE}" pid="9" name="MSIP_Label_98354761-0305-4995-88f7-0964ec9cf6af_ContentBits">
    <vt:lpwstr>0</vt:lpwstr>
  </property>
  <property fmtid="{D5CDD505-2E9C-101B-9397-08002B2CF9AE}" pid="10" name="MSIP_Label_98354761-0305-4995-88f7-0964ec9cf6af_Tag">
    <vt:lpwstr>10, 3, 0, 1</vt:lpwstr>
  </property>
</Properties>
</file>