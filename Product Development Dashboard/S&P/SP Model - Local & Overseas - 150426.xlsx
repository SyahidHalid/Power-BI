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xim.sharepoint.com/sites/Site-RMMarketRisk/Shared Documents/ALM_MarketRisk/Credit Risk Rating (CRR)/CRR Project by S&amp;P/CCPO - S&amp;P Mapping Table/"/>
    </mc:Choice>
  </mc:AlternateContent>
  <xr:revisionPtr revIDLastSave="1224" documentId="8_{E19065A3-1832-40B8-B8F1-7DA1E16E570B}" xr6:coauthVersionLast="47" xr6:coauthVersionMax="47" xr10:uidLastSave="{97B1C65E-E19D-4FAB-B7DA-8DBADAFC23F6}"/>
  <bookViews>
    <workbookView xWindow="-108" yWindow="-108" windowWidth="23256" windowHeight="13896" firstSheet="2" activeTab="6" xr2:uid="{EF73FDEA-E9F4-445B-AFF3-C909907F29AB}"/>
  </bookViews>
  <sheets>
    <sheet name="ECL Local" sheetId="1" r:id="rId1"/>
    <sheet name="ECL Overseas" sheetId="2" r:id="rId2"/>
    <sheet name="ECL Overseas (2)" sheetId="3" r:id="rId3"/>
    <sheet name="ECL Overseas (3)" sheetId="4" r:id="rId4"/>
    <sheet name="ECL Overseas (4)" sheetId="5" r:id="rId5"/>
    <sheet name="ECL Overseas (5)" sheetId="7" r:id="rId6"/>
    <sheet name="ECL Overseas (6)" sheetId="8" r:id="rId7"/>
  </sheets>
  <definedNames>
    <definedName name="_xlnm._FilterDatabase" localSheetId="5" hidden="1">'ECL Overseas (5)'!$B$4:$E$274</definedName>
    <definedName name="_xlnm._FilterDatabase" localSheetId="6" hidden="1">'ECL Overseas (6)'!$B$4:$E$4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2" i="8" l="1"/>
  <c r="C119" i="8"/>
  <c r="C116" i="8"/>
  <c r="C113" i="8"/>
  <c r="C110" i="8"/>
  <c r="C107" i="8"/>
  <c r="C104" i="8"/>
  <c r="C101" i="8"/>
  <c r="C98" i="8"/>
  <c r="C92" i="8"/>
  <c r="C89" i="8"/>
  <c r="C86" i="8"/>
  <c r="C83" i="8"/>
  <c r="C80" i="8"/>
  <c r="C77" i="8"/>
  <c r="C74" i="8"/>
  <c r="C71" i="8"/>
  <c r="C68" i="8"/>
  <c r="AE11" i="4"/>
  <c r="AF11" i="7"/>
  <c r="AF11" i="8"/>
  <c r="AC19" i="5"/>
  <c r="Z19" i="5"/>
  <c r="AD19" i="5" s="1"/>
  <c r="AE19" i="5" s="1"/>
  <c r="AD11" i="5"/>
  <c r="AE11" i="5" s="1"/>
  <c r="AC11" i="5"/>
  <c r="Z11" i="5"/>
  <c r="AC19" i="4"/>
  <c r="Z19" i="4"/>
  <c r="AD19" i="4" s="1"/>
  <c r="AE19" i="4" s="1"/>
  <c r="AC11" i="4"/>
  <c r="Z11" i="4"/>
  <c r="AD11" i="4" s="1"/>
  <c r="AC19" i="3"/>
  <c r="Z19" i="3"/>
  <c r="AD19" i="3" s="1"/>
  <c r="AE19" i="3" s="1"/>
  <c r="AC11" i="3"/>
  <c r="Z11" i="3"/>
  <c r="AD11" i="3" s="1"/>
  <c r="AE11" i="3" s="1"/>
  <c r="AC19" i="2"/>
  <c r="Z19" i="2"/>
  <c r="AD19" i="2" s="1"/>
  <c r="AE19" i="2" s="1"/>
  <c r="AC11" i="2"/>
  <c r="Z11" i="2"/>
  <c r="AD11" i="2" s="1"/>
  <c r="AE11" i="2" s="1"/>
  <c r="AD19" i="1"/>
  <c r="Y19" i="1"/>
  <c r="AB19" i="1"/>
  <c r="AC19" i="1" s="1"/>
  <c r="AC11" i="1"/>
  <c r="AB11" i="1"/>
  <c r="Y11" i="1"/>
  <c r="AD11" i="1" l="1"/>
  <c r="C62" i="8"/>
  <c r="C59" i="8"/>
  <c r="C56" i="8"/>
  <c r="C53" i="8"/>
  <c r="C50" i="8"/>
  <c r="C47" i="8"/>
  <c r="C44" i="8"/>
  <c r="C41" i="8"/>
  <c r="C38" i="8"/>
  <c r="AA19" i="8"/>
  <c r="AE11" i="8"/>
  <c r="AD11" i="8"/>
  <c r="AA11" i="8"/>
  <c r="AA19" i="7"/>
  <c r="AE11" i="7"/>
  <c r="AD11" i="7"/>
  <c r="AA11" i="7"/>
  <c r="G142" i="5" l="1"/>
  <c r="J126" i="5"/>
  <c r="E117" i="5"/>
  <c r="F117" i="5"/>
  <c r="G117" i="5"/>
  <c r="H117" i="5"/>
  <c r="I117" i="5"/>
  <c r="J117" i="5"/>
  <c r="E118" i="5"/>
  <c r="F118" i="5"/>
  <c r="G118" i="5"/>
  <c r="H118" i="5"/>
  <c r="I118" i="5"/>
  <c r="J118" i="5"/>
  <c r="E119" i="5"/>
  <c r="F119" i="5"/>
  <c r="G119" i="5"/>
  <c r="H119" i="5"/>
  <c r="I119" i="5"/>
  <c r="J119" i="5"/>
  <c r="E120" i="5"/>
  <c r="F120" i="5"/>
  <c r="G120" i="5"/>
  <c r="H120" i="5"/>
  <c r="I120" i="5"/>
  <c r="J120" i="5"/>
  <c r="E121" i="5"/>
  <c r="F121" i="5"/>
  <c r="G121" i="5"/>
  <c r="H121" i="5"/>
  <c r="I121" i="5"/>
  <c r="J121" i="5"/>
  <c r="E122" i="5"/>
  <c r="F122" i="5"/>
  <c r="G122" i="5"/>
  <c r="H122" i="5"/>
  <c r="I122" i="5"/>
  <c r="J122" i="5"/>
  <c r="E123" i="5"/>
  <c r="F123" i="5"/>
  <c r="G123" i="5"/>
  <c r="H123" i="5"/>
  <c r="I123" i="5"/>
  <c r="J123" i="5"/>
  <c r="E124" i="5"/>
  <c r="F124" i="5"/>
  <c r="G124" i="5"/>
  <c r="H124" i="5"/>
  <c r="I124" i="5"/>
  <c r="J124" i="5"/>
  <c r="E125" i="5"/>
  <c r="F125" i="5"/>
  <c r="G125" i="5"/>
  <c r="H125" i="5"/>
  <c r="I125" i="5"/>
  <c r="J125" i="5"/>
  <c r="E126" i="5"/>
  <c r="F126" i="5"/>
  <c r="G126" i="5"/>
  <c r="H126" i="5"/>
  <c r="I126" i="5"/>
  <c r="E127" i="5"/>
  <c r="F127" i="5"/>
  <c r="G127" i="5"/>
  <c r="H127" i="5"/>
  <c r="I127" i="5"/>
  <c r="J127" i="5"/>
  <c r="E128" i="5"/>
  <c r="F128" i="5"/>
  <c r="G128" i="5"/>
  <c r="H128" i="5"/>
  <c r="I128" i="5"/>
  <c r="J128" i="5"/>
  <c r="E129" i="5"/>
  <c r="F129" i="5"/>
  <c r="G129" i="5"/>
  <c r="H129" i="5"/>
  <c r="I129" i="5"/>
  <c r="J129" i="5"/>
  <c r="E130" i="5"/>
  <c r="F130" i="5"/>
  <c r="G130" i="5"/>
  <c r="H130" i="5"/>
  <c r="I130" i="5"/>
  <c r="J130" i="5"/>
  <c r="E131" i="5"/>
  <c r="F131" i="5"/>
  <c r="G131" i="5"/>
  <c r="H131" i="5"/>
  <c r="I131" i="5"/>
  <c r="J131" i="5"/>
  <c r="E132" i="5"/>
  <c r="F132" i="5"/>
  <c r="G132" i="5"/>
  <c r="H132" i="5"/>
  <c r="I132" i="5"/>
  <c r="J132" i="5"/>
  <c r="E133" i="5"/>
  <c r="F133" i="5"/>
  <c r="G133" i="5"/>
  <c r="H133" i="5"/>
  <c r="I133" i="5"/>
  <c r="J133" i="5"/>
  <c r="E134" i="5"/>
  <c r="F134" i="5"/>
  <c r="G134" i="5"/>
  <c r="H134" i="5"/>
  <c r="I134" i="5"/>
  <c r="J134" i="5"/>
  <c r="E135" i="5"/>
  <c r="F135" i="5"/>
  <c r="G135" i="5"/>
  <c r="H135" i="5"/>
  <c r="I135" i="5"/>
  <c r="J135" i="5"/>
  <c r="E136" i="5"/>
  <c r="F136" i="5"/>
  <c r="G136" i="5"/>
  <c r="H136" i="5"/>
  <c r="I136" i="5"/>
  <c r="J136" i="5"/>
  <c r="E137" i="5"/>
  <c r="F137" i="5"/>
  <c r="G137" i="5"/>
  <c r="H137" i="5"/>
  <c r="I137" i="5"/>
  <c r="J137" i="5"/>
  <c r="E138" i="5"/>
  <c r="F138" i="5"/>
  <c r="G138" i="5"/>
  <c r="H138" i="5"/>
  <c r="I138" i="5"/>
  <c r="J138" i="5"/>
  <c r="E139" i="5"/>
  <c r="F139" i="5"/>
  <c r="G139" i="5"/>
  <c r="H139" i="5"/>
  <c r="I139" i="5"/>
  <c r="J139" i="5"/>
  <c r="E140" i="5"/>
  <c r="F140" i="5"/>
  <c r="G140" i="5"/>
  <c r="H140" i="5"/>
  <c r="I140" i="5"/>
  <c r="J140" i="5"/>
  <c r="E141" i="5"/>
  <c r="F141" i="5"/>
  <c r="G141" i="5"/>
  <c r="H141" i="5"/>
  <c r="I141" i="5"/>
  <c r="J141" i="5"/>
  <c r="E142" i="5"/>
  <c r="F142" i="5"/>
  <c r="H142" i="5"/>
  <c r="I142" i="5"/>
  <c r="J142" i="5"/>
  <c r="E143" i="5"/>
  <c r="F143" i="5"/>
  <c r="G143" i="5"/>
  <c r="H143" i="5"/>
  <c r="I143" i="5"/>
  <c r="J143" i="5"/>
  <c r="E144" i="5"/>
  <c r="F144" i="5"/>
  <c r="G144" i="5"/>
  <c r="H144" i="5"/>
  <c r="I144" i="5"/>
  <c r="J144" i="5"/>
  <c r="E145" i="5"/>
  <c r="F145" i="5"/>
  <c r="G145" i="5"/>
  <c r="H145" i="5"/>
  <c r="I145" i="5"/>
  <c r="J145" i="5"/>
  <c r="F116" i="5"/>
  <c r="G116" i="5"/>
  <c r="H116" i="5"/>
  <c r="I116" i="5"/>
  <c r="J116" i="5"/>
  <c r="E116" i="5"/>
  <c r="C32" i="8" l="1"/>
  <c r="C29" i="8"/>
  <c r="C26" i="8"/>
  <c r="C23" i="8"/>
  <c r="C20" i="8"/>
  <c r="C17" i="8"/>
  <c r="C14" i="8"/>
  <c r="C11" i="8"/>
  <c r="C8" i="8"/>
  <c r="C272" i="7" l="1"/>
  <c r="C269" i="7"/>
  <c r="C266" i="7"/>
  <c r="C263" i="7"/>
  <c r="C260" i="7"/>
  <c r="C257" i="7"/>
  <c r="C254" i="7"/>
  <c r="C251" i="7"/>
  <c r="C248" i="7"/>
  <c r="C242" i="7"/>
  <c r="C239" i="7"/>
  <c r="C236" i="7"/>
  <c r="C233" i="7"/>
  <c r="C230" i="7"/>
  <c r="C227" i="7"/>
  <c r="C224" i="7"/>
  <c r="C221" i="7"/>
  <c r="C218" i="7"/>
  <c r="C212" i="7"/>
  <c r="C209" i="7"/>
  <c r="C206" i="7"/>
  <c r="C203" i="7"/>
  <c r="C200" i="7"/>
  <c r="C197" i="7"/>
  <c r="C194" i="7"/>
  <c r="C191" i="7"/>
  <c r="C188" i="7"/>
  <c r="C182" i="7"/>
  <c r="C179" i="7"/>
  <c r="C176" i="7"/>
  <c r="C173" i="7"/>
  <c r="C170" i="7"/>
  <c r="C167" i="7"/>
  <c r="C164" i="7"/>
  <c r="C161" i="7"/>
  <c r="C158" i="7"/>
  <c r="C152" i="7"/>
  <c r="C149" i="7"/>
  <c r="C146" i="7"/>
  <c r="C143" i="7"/>
  <c r="C140" i="7"/>
  <c r="C137" i="7"/>
  <c r="C134" i="7"/>
  <c r="C131" i="7"/>
  <c r="C128" i="7"/>
  <c r="C122" i="7"/>
  <c r="C119" i="7"/>
  <c r="C116" i="7"/>
  <c r="C113" i="7"/>
  <c r="C110" i="7"/>
  <c r="C107" i="7"/>
  <c r="C104" i="7"/>
  <c r="C101" i="7"/>
  <c r="C98" i="7"/>
  <c r="C92" i="7"/>
  <c r="C89" i="7"/>
  <c r="C86" i="7"/>
  <c r="C83" i="7"/>
  <c r="C80" i="7"/>
  <c r="C77" i="7"/>
  <c r="C74" i="7"/>
  <c r="C71" i="7"/>
  <c r="C68" i="7"/>
  <c r="C62" i="7"/>
  <c r="C59" i="7"/>
  <c r="C56" i="7"/>
  <c r="C53" i="7"/>
  <c r="C50" i="7"/>
  <c r="C47" i="7"/>
  <c r="C44" i="7"/>
  <c r="C41" i="7"/>
  <c r="C38" i="7"/>
  <c r="AF19" i="8" l="1"/>
  <c r="AE19" i="8"/>
  <c r="AD19" i="8"/>
  <c r="AF19" i="7"/>
  <c r="AE19" i="7"/>
  <c r="AD19" i="7"/>
</calcChain>
</file>

<file path=xl/sharedStrings.xml><?xml version="1.0" encoding="utf-8"?>
<sst xmlns="http://schemas.openxmlformats.org/spreadsheetml/2006/main" count="2004" uniqueCount="106">
  <si>
    <t>LGD</t>
  </si>
  <si>
    <t>Rating Bands</t>
  </si>
  <si>
    <t>S&amp;P PD</t>
  </si>
  <si>
    <t>LGD 1</t>
  </si>
  <si>
    <t>LGD 2</t>
  </si>
  <si>
    <t>LGD 3</t>
  </si>
  <si>
    <t>LGD 4</t>
  </si>
  <si>
    <t>LGD 5</t>
  </si>
  <si>
    <t>LGD 6</t>
  </si>
  <si>
    <t>S&amp;P Scale</t>
  </si>
  <si>
    <t>Rating</t>
  </si>
  <si>
    <t>LGD Segments</t>
  </si>
  <si>
    <t xml:space="preserve">IR FACT </t>
  </si>
  <si>
    <t>PD1</t>
  </si>
  <si>
    <t>aaa</t>
  </si>
  <si>
    <t>LGD1</t>
  </si>
  <si>
    <t>0% - 10%</t>
  </si>
  <si>
    <t>Facility</t>
  </si>
  <si>
    <t>(%) pa</t>
  </si>
  <si>
    <t>PD2</t>
  </si>
  <si>
    <t>aa+</t>
  </si>
  <si>
    <t>LGD2</t>
  </si>
  <si>
    <t>10% - 30%</t>
  </si>
  <si>
    <t>RBPM Components</t>
  </si>
  <si>
    <t>PD3</t>
  </si>
  <si>
    <t>aa</t>
  </si>
  <si>
    <t>LGD3</t>
  </si>
  <si>
    <t>30% - 50%</t>
  </si>
  <si>
    <t>Cost of Fund (COF)</t>
  </si>
  <si>
    <t>Spread</t>
  </si>
  <si>
    <t>PD4</t>
  </si>
  <si>
    <t>aa-</t>
  </si>
  <si>
    <t>LGD4</t>
  </si>
  <si>
    <t>50% - 70%</t>
  </si>
  <si>
    <t xml:space="preserve">PD </t>
  </si>
  <si>
    <t>Benchmark</t>
  </si>
  <si>
    <t>Reference Rate</t>
  </si>
  <si>
    <t>Funding Spread</t>
  </si>
  <si>
    <t>Operating Cost</t>
  </si>
  <si>
    <t>Liquidity Cost</t>
  </si>
  <si>
    <t>All-in COF</t>
  </si>
  <si>
    <t>ECL Cost</t>
  </si>
  <si>
    <t>Net Margin</t>
  </si>
  <si>
    <t>All-in Spread</t>
  </si>
  <si>
    <t>All-in  Rate</t>
  </si>
  <si>
    <t>NIM</t>
  </si>
  <si>
    <t>PD5</t>
  </si>
  <si>
    <t>a+</t>
  </si>
  <si>
    <t>LGD5</t>
  </si>
  <si>
    <t>70% - 90%</t>
  </si>
  <si>
    <t>PD6</t>
  </si>
  <si>
    <t>a</t>
  </si>
  <si>
    <t>LGD6</t>
  </si>
  <si>
    <t>PD7</t>
  </si>
  <si>
    <t>a-</t>
  </si>
  <si>
    <t>PD8</t>
  </si>
  <si>
    <t>bbb+</t>
  </si>
  <si>
    <t>S&amp;P</t>
  </si>
  <si>
    <t>PD9</t>
  </si>
  <si>
    <t>bbb</t>
  </si>
  <si>
    <t>PD10</t>
  </si>
  <si>
    <t>bbb-</t>
  </si>
  <si>
    <t>bb+</t>
  </si>
  <si>
    <t>bb</t>
  </si>
  <si>
    <t>bb-</t>
  </si>
  <si>
    <t>b+</t>
  </si>
  <si>
    <t>b</t>
  </si>
  <si>
    <t>b-</t>
  </si>
  <si>
    <t>ccc+</t>
  </si>
  <si>
    <t>ccc</t>
  </si>
  <si>
    <t>ccc-</t>
  </si>
  <si>
    <t>d</t>
  </si>
  <si>
    <t>Indonesia</t>
  </si>
  <si>
    <t>Section</t>
  </si>
  <si>
    <t>All Sectors</t>
  </si>
  <si>
    <t>Fis</t>
  </si>
  <si>
    <t>Corporates</t>
  </si>
  <si>
    <t>Turkey</t>
  </si>
  <si>
    <t>Australia</t>
  </si>
  <si>
    <t>Singapore</t>
  </si>
  <si>
    <t>Lao</t>
  </si>
  <si>
    <t>India</t>
  </si>
  <si>
    <t>Thailand</t>
  </si>
  <si>
    <t>Iraq</t>
  </si>
  <si>
    <t>Seychelles</t>
  </si>
  <si>
    <t>UAE</t>
  </si>
  <si>
    <t>United Kingdom</t>
  </si>
  <si>
    <t>Vietnam</t>
  </si>
  <si>
    <t>Cambodia</t>
  </si>
  <si>
    <t>Country</t>
  </si>
  <si>
    <t>PD(%)</t>
  </si>
  <si>
    <t>ECL (%)</t>
  </si>
  <si>
    <t>Brunei</t>
  </si>
  <si>
    <t>China</t>
  </si>
  <si>
    <t>Japan</t>
  </si>
  <si>
    <t>Jordan</t>
  </si>
  <si>
    <t>Kazakhstan</t>
  </si>
  <si>
    <t>Maldives</t>
  </si>
  <si>
    <t>Mongolia</t>
  </si>
  <si>
    <t>Sri Lanka</t>
  </si>
  <si>
    <t>Sudan</t>
  </si>
  <si>
    <t>Norway</t>
  </si>
  <si>
    <t>Uganda</t>
  </si>
  <si>
    <t>klibor</t>
  </si>
  <si>
    <t>United States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</si>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</sst>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%"/>
    <numFmt numFmtId="166" formatCode="0.000%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10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0" fontId="4" fillId="0" borderId="3" xfId="1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 vertical="center"/>
    </xf>
    <xf numFmtId="10" fontId="4" fillId="0" borderId="3" xfId="1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3" fillId="3" borderId="0" xfId="0" applyFont="1" applyFill="1"/>
    <xf numFmtId="164" fontId="0" fillId="0" borderId="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0" fontId="4" fillId="0" borderId="5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5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0" fontId="0" fillId="2" borderId="3" xfId="1" applyNumberFormat="1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4" borderId="16" xfId="0" applyNumberFormat="1" applyFill="1" applyBorder="1" applyAlignment="1">
      <alignment horizontal="center"/>
    </xf>
    <xf numFmtId="164" fontId="0" fillId="4" borderId="17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6" fontId="0" fillId="4" borderId="3" xfId="1" applyNumberFormat="1" applyFon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/>
    </xf>
    <xf numFmtId="164" fontId="0" fillId="4" borderId="13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165" fontId="0" fillId="0" borderId="20" xfId="0" applyNumberFormat="1" applyBorder="1" applyAlignment="1">
      <alignment horizontal="center"/>
    </xf>
    <xf numFmtId="165" fontId="0" fillId="2" borderId="3" xfId="0" applyNumberFormat="1" applyFill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66" fontId="0" fillId="2" borderId="3" xfId="1" applyNumberFormat="1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7" fontId="0" fillId="2" borderId="3" xfId="1" applyNumberFormat="1" applyFon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7" fontId="0" fillId="2" borderId="15" xfId="1" applyNumberFormat="1" applyFon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164" fontId="0" fillId="4" borderId="18" xfId="0" applyNumberFormat="1" applyFill="1" applyBorder="1" applyAlignment="1">
      <alignment horizontal="center" vertical="center"/>
    </xf>
    <xf numFmtId="166" fontId="0" fillId="4" borderId="19" xfId="1" applyNumberFormat="1" applyFont="1" applyFill="1" applyBorder="1" applyAlignment="1">
      <alignment horizontal="center" vertical="center"/>
    </xf>
    <xf numFmtId="165" fontId="0" fillId="4" borderId="19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0" fontId="0" fillId="4" borderId="3" xfId="1" applyNumberFormat="1" applyFont="1" applyFill="1" applyBorder="1" applyAlignment="1">
      <alignment horizontal="center" vertical="center"/>
    </xf>
    <xf numFmtId="167" fontId="0" fillId="4" borderId="3" xfId="1" applyNumberFormat="1" applyFon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167" fontId="0" fillId="4" borderId="15" xfId="1" applyNumberFormat="1" applyFont="1" applyFill="1" applyBorder="1" applyAlignment="1">
      <alignment horizontal="center" vertical="center"/>
    </xf>
    <xf numFmtId="165" fontId="0" fillId="4" borderId="15" xfId="0" applyNumberFormat="1" applyFill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21" xfId="0" applyNumberFormat="1" applyFill="1" applyBorder="1" applyAlignment="1">
      <alignment horizontal="center" vertical="center"/>
    </xf>
    <xf numFmtId="166" fontId="0" fillId="5" borderId="2" xfId="1" applyNumberFormat="1" applyFon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166" fontId="0" fillId="5" borderId="3" xfId="1" applyNumberFormat="1" applyFont="1" applyFill="1" applyBorder="1" applyAlignment="1">
      <alignment horizontal="center" vertical="center"/>
    </xf>
    <xf numFmtId="165" fontId="0" fillId="5" borderId="3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0" fontId="0" fillId="5" borderId="3" xfId="1" applyNumberFormat="1" applyFon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 vertical="center"/>
    </xf>
    <xf numFmtId="167" fontId="0" fillId="5" borderId="3" xfId="1" applyNumberFormat="1" applyFon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164" fontId="0" fillId="5" borderId="14" xfId="0" applyNumberFormat="1" applyFill="1" applyBorder="1" applyAlignment="1">
      <alignment horizontal="center" vertical="center"/>
    </xf>
    <xf numFmtId="167" fontId="0" fillId="5" borderId="15" xfId="1" applyNumberFormat="1" applyFont="1" applyFill="1" applyBorder="1" applyAlignment="1">
      <alignment horizontal="center" vertical="center"/>
    </xf>
    <xf numFmtId="165" fontId="0" fillId="5" borderId="15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66" fontId="0" fillId="2" borderId="2" xfId="1" applyNumberFormat="1" applyFon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82A7-F7BF-45F6-AC38-9F3625FE9091}">
  <dimension ref="B2:AD26"/>
  <sheetViews>
    <sheetView topLeftCell="I1" workbookViewId="0">
      <selection activeCell="Q1" sqref="Q1:AD1048576"/>
    </sheetView>
  </sheetViews>
  <sheetFormatPr defaultRowHeight="14.4" x14ac:dyDescent="0.3"/>
  <cols>
    <col min="2" max="2" width="11.6640625" bestFit="1" customWidth="1"/>
    <col min="3" max="3" width="12.5546875" hidden="1" customWidth="1"/>
    <col min="9" max="9" width="10.109375" bestFit="1" customWidth="1"/>
    <col min="15" max="15" width="12.6640625" bestFit="1" customWidth="1"/>
    <col min="18" max="19" width="10.33203125" style="1" customWidth="1"/>
    <col min="20" max="20" width="10.5546875" style="1" customWidth="1"/>
    <col min="21" max="21" width="9.6640625" style="1" customWidth="1"/>
    <col min="22" max="28" width="8.88671875" style="1"/>
    <col min="29" max="29" width="10" style="1" customWidth="1"/>
    <col min="30" max="30" width="8.88671875" style="1"/>
  </cols>
  <sheetData>
    <row r="2" spans="2:30" x14ac:dyDescent="0.3">
      <c r="B2" s="1"/>
    </row>
    <row r="3" spans="2:30" x14ac:dyDescent="0.3">
      <c r="B3" s="1"/>
      <c r="D3" s="116" t="s">
        <v>0</v>
      </c>
      <c r="E3" s="116"/>
      <c r="F3" s="116"/>
      <c r="G3" s="116"/>
      <c r="H3" s="116"/>
      <c r="I3" s="116"/>
    </row>
    <row r="4" spans="2:30" hidden="1" x14ac:dyDescent="0.3">
      <c r="B4" s="1"/>
      <c r="D4" s="2">
        <v>9.8400000000000001E-2</v>
      </c>
      <c r="E4" s="2">
        <v>0.24840000000000001</v>
      </c>
      <c r="F4" s="2">
        <v>0.44840000000000002</v>
      </c>
      <c r="G4" s="2">
        <v>0.64839999999999998</v>
      </c>
      <c r="H4" s="2">
        <v>0.84840000000000004</v>
      </c>
      <c r="I4" s="2">
        <v>1.0484</v>
      </c>
    </row>
    <row r="5" spans="2:30" x14ac:dyDescent="0.3">
      <c r="B5" s="1"/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</row>
    <row r="6" spans="2:30" ht="28.8" x14ac:dyDescent="0.3">
      <c r="B6" s="3" t="s">
        <v>1</v>
      </c>
      <c r="C6" s="4" t="s">
        <v>2</v>
      </c>
      <c r="D6" s="3" t="s">
        <v>91</v>
      </c>
      <c r="E6" s="3" t="s">
        <v>91</v>
      </c>
      <c r="F6" s="3" t="s">
        <v>91</v>
      </c>
      <c r="G6" s="3" t="s">
        <v>91</v>
      </c>
      <c r="H6" s="3" t="s">
        <v>91</v>
      </c>
      <c r="I6" s="3" t="s">
        <v>91</v>
      </c>
      <c r="K6" s="5" t="s">
        <v>9</v>
      </c>
      <c r="L6" s="3" t="s">
        <v>10</v>
      </c>
      <c r="N6" s="3" t="s">
        <v>0</v>
      </c>
      <c r="O6" s="3" t="s">
        <v>11</v>
      </c>
      <c r="Q6" s="6" t="s">
        <v>12</v>
      </c>
      <c r="R6" s="7"/>
    </row>
    <row r="7" spans="2:30" x14ac:dyDescent="0.3">
      <c r="B7" s="8" t="s">
        <v>13</v>
      </c>
      <c r="C7" s="9">
        <v>1.11744503551797E-3</v>
      </c>
      <c r="D7" s="10">
        <v>1.0995659149496824E-4</v>
      </c>
      <c r="E7" s="10">
        <v>2.7757334682266378E-4</v>
      </c>
      <c r="F7" s="10">
        <v>5.010623539262578E-4</v>
      </c>
      <c r="G7" s="10">
        <v>7.2455136102985167E-4</v>
      </c>
      <c r="H7" s="10">
        <v>9.4804036813344575E-4</v>
      </c>
      <c r="I7" s="10">
        <v>1.1715293752370397E-3</v>
      </c>
      <c r="K7" s="11" t="s">
        <v>14</v>
      </c>
      <c r="L7" s="12" t="s">
        <v>13</v>
      </c>
      <c r="N7" s="12" t="s">
        <v>15</v>
      </c>
      <c r="O7" s="12" t="s">
        <v>16</v>
      </c>
      <c r="Q7" s="109" t="s">
        <v>17</v>
      </c>
      <c r="R7" s="112" t="s">
        <v>18</v>
      </c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</row>
    <row r="8" spans="2:30" x14ac:dyDescent="0.3">
      <c r="B8" s="8" t="s">
        <v>19</v>
      </c>
      <c r="C8" s="9">
        <v>3.4219073741757096E-3</v>
      </c>
      <c r="D8" s="10">
        <v>3.367156856188898E-4</v>
      </c>
      <c r="E8" s="10">
        <v>8.5000179174524626E-4</v>
      </c>
      <c r="F8" s="10">
        <v>1.5343832665803882E-3</v>
      </c>
      <c r="G8" s="10">
        <v>2.2187647414155299E-3</v>
      </c>
      <c r="H8" s="10">
        <v>2.903146216250672E-3</v>
      </c>
      <c r="I8" s="10">
        <v>3.5875276910858141E-3</v>
      </c>
      <c r="K8" s="11" t="s">
        <v>20</v>
      </c>
      <c r="L8" s="12" t="s">
        <v>13</v>
      </c>
      <c r="N8" s="12" t="s">
        <v>21</v>
      </c>
      <c r="O8" s="12" t="s">
        <v>22</v>
      </c>
      <c r="Q8" s="110"/>
      <c r="R8" s="113" t="s">
        <v>23</v>
      </c>
      <c r="S8" s="114"/>
      <c r="T8" s="114"/>
      <c r="U8" s="114"/>
      <c r="V8" s="114"/>
      <c r="W8" s="114"/>
      <c r="X8" s="114"/>
      <c r="Y8" s="114"/>
      <c r="Z8" s="114"/>
      <c r="AA8" s="114"/>
      <c r="AB8" s="115"/>
      <c r="AC8" s="14"/>
      <c r="AD8" s="13"/>
    </row>
    <row r="9" spans="2:30" x14ac:dyDescent="0.3">
      <c r="B9" s="8" t="s">
        <v>24</v>
      </c>
      <c r="C9" s="9">
        <v>7.0019832538176499E-3</v>
      </c>
      <c r="D9" s="10">
        <v>6.889951521756567E-4</v>
      </c>
      <c r="E9" s="10">
        <v>1.7392926402483044E-3</v>
      </c>
      <c r="F9" s="10">
        <v>3.1396892910118342E-3</v>
      </c>
      <c r="G9" s="10">
        <v>4.5400859417753644E-3</v>
      </c>
      <c r="H9" s="10">
        <v>5.9404825925388942E-3</v>
      </c>
      <c r="I9" s="10">
        <v>7.340879243302424E-3</v>
      </c>
      <c r="K9" s="11" t="s">
        <v>25</v>
      </c>
      <c r="L9" s="12" t="s">
        <v>13</v>
      </c>
      <c r="N9" s="12" t="s">
        <v>26</v>
      </c>
      <c r="O9" s="12" t="s">
        <v>27</v>
      </c>
      <c r="Q9" s="110"/>
      <c r="R9" s="113" t="s">
        <v>10</v>
      </c>
      <c r="S9" s="115"/>
      <c r="T9" s="114" t="s">
        <v>28</v>
      </c>
      <c r="U9" s="114"/>
      <c r="V9" s="114"/>
      <c r="W9" s="114"/>
      <c r="X9" s="114"/>
      <c r="Y9" s="115"/>
      <c r="Z9" s="113" t="s">
        <v>29</v>
      </c>
      <c r="AA9" s="114"/>
      <c r="AB9" s="115"/>
      <c r="AC9" s="13"/>
      <c r="AD9" s="13"/>
    </row>
    <row r="10" spans="2:30" ht="28.8" x14ac:dyDescent="0.3">
      <c r="B10" s="16" t="s">
        <v>30</v>
      </c>
      <c r="C10" s="17">
        <v>1.30465839807688E-2</v>
      </c>
      <c r="D10" s="18">
        <v>1.28378386370765E-3</v>
      </c>
      <c r="E10" s="18">
        <v>3.24077146082297E-3</v>
      </c>
      <c r="F10" s="18">
        <v>5.8500882569767305E-3</v>
      </c>
      <c r="G10" s="18">
        <v>8.4594050531304893E-3</v>
      </c>
      <c r="H10" s="18">
        <v>1.1068721849284251E-2</v>
      </c>
      <c r="I10" s="18">
        <v>1.367803864543801E-2</v>
      </c>
      <c r="K10" s="11" t="s">
        <v>31</v>
      </c>
      <c r="L10" s="12" t="s">
        <v>13</v>
      </c>
      <c r="N10" s="12" t="s">
        <v>32</v>
      </c>
      <c r="O10" s="12" t="s">
        <v>33</v>
      </c>
      <c r="Q10" s="111"/>
      <c r="R10" s="19" t="s">
        <v>34</v>
      </c>
      <c r="S10" s="19" t="s">
        <v>0</v>
      </c>
      <c r="T10" s="19" t="s">
        <v>35</v>
      </c>
      <c r="U10" s="19" t="s">
        <v>36</v>
      </c>
      <c r="V10" s="19" t="s">
        <v>37</v>
      </c>
      <c r="W10" s="19" t="s">
        <v>38</v>
      </c>
      <c r="X10" s="19" t="s">
        <v>39</v>
      </c>
      <c r="Y10" s="19" t="s">
        <v>40</v>
      </c>
      <c r="Z10" s="19" t="s">
        <v>41</v>
      </c>
      <c r="AA10" s="19" t="s">
        <v>42</v>
      </c>
      <c r="AB10" s="19" t="s">
        <v>43</v>
      </c>
      <c r="AC10" s="19" t="s">
        <v>44</v>
      </c>
      <c r="AD10" s="19" t="s">
        <v>45</v>
      </c>
    </row>
    <row r="11" spans="2:30" x14ac:dyDescent="0.3">
      <c r="B11" s="8" t="s">
        <v>46</v>
      </c>
      <c r="C11" s="9">
        <v>2.5306904566014799E-2</v>
      </c>
      <c r="D11" s="10">
        <v>2.4901994092958561E-3</v>
      </c>
      <c r="E11" s="10">
        <v>6.2862350941980767E-3</v>
      </c>
      <c r="F11" s="10">
        <v>1.1347616007401036E-2</v>
      </c>
      <c r="G11" s="10">
        <v>1.6408996920603994E-2</v>
      </c>
      <c r="H11" s="10">
        <v>2.1470377833806956E-2</v>
      </c>
      <c r="I11" s="10">
        <v>2.6531758747009915E-2</v>
      </c>
      <c r="K11" s="11" t="s">
        <v>47</v>
      </c>
      <c r="L11" s="12" t="s">
        <v>13</v>
      </c>
      <c r="N11" s="12" t="s">
        <v>48</v>
      </c>
      <c r="O11" s="12" t="s">
        <v>49</v>
      </c>
      <c r="Q11" s="15"/>
      <c r="R11" s="13"/>
      <c r="S11" s="13"/>
      <c r="T11" s="13" t="s">
        <v>103</v>
      </c>
      <c r="U11" s="13"/>
      <c r="V11" s="13"/>
      <c r="W11" s="13"/>
      <c r="X11" s="13"/>
      <c r="Y11" s="13">
        <f>SUM(U11:X11)</f>
        <v>0</v>
      </c>
      <c r="Z11" s="13"/>
      <c r="AA11" s="13"/>
      <c r="AB11" s="13">
        <f>SUM(Z11:AA11)</f>
        <v>0</v>
      </c>
      <c r="AC11" s="13">
        <f>SUM(Y11,AB11)</f>
        <v>0</v>
      </c>
      <c r="AD11" s="13">
        <f>AC11-SUM(U11:V11)</f>
        <v>0</v>
      </c>
    </row>
    <row r="12" spans="2:30" x14ac:dyDescent="0.3">
      <c r="B12" s="8" t="s">
        <v>50</v>
      </c>
      <c r="C12" s="9">
        <v>4.9227774215329895E-2</v>
      </c>
      <c r="D12" s="10">
        <v>4.8440129827884617E-3</v>
      </c>
      <c r="E12" s="10">
        <v>1.2228179115087947E-2</v>
      </c>
      <c r="F12" s="10">
        <v>2.2073733958153926E-2</v>
      </c>
      <c r="G12" s="10">
        <v>3.19192888012199E-2</v>
      </c>
      <c r="H12" s="10">
        <v>4.1764843644285884E-2</v>
      </c>
      <c r="I12" s="10">
        <v>5.1610398487351862E-2</v>
      </c>
      <c r="K12" s="11" t="s">
        <v>51</v>
      </c>
      <c r="L12" s="12" t="s">
        <v>13</v>
      </c>
      <c r="N12" s="12" t="s">
        <v>52</v>
      </c>
      <c r="O12" s="20">
        <v>1</v>
      </c>
    </row>
    <row r="13" spans="2:30" x14ac:dyDescent="0.3">
      <c r="B13" s="8" t="s">
        <v>53</v>
      </c>
      <c r="C13" s="9">
        <v>8.0447565902445214E-2</v>
      </c>
      <c r="D13" s="10">
        <v>7.9160404848006086E-3</v>
      </c>
      <c r="E13" s="10">
        <v>1.9983175370167392E-2</v>
      </c>
      <c r="F13" s="10">
        <v>3.6072688550656436E-2</v>
      </c>
      <c r="G13" s="10">
        <v>5.2162201731145476E-2</v>
      </c>
      <c r="H13" s="10">
        <v>6.8251714911634523E-2</v>
      </c>
      <c r="I13" s="10">
        <v>8.4341228092123563E-2</v>
      </c>
      <c r="K13" s="11" t="s">
        <v>54</v>
      </c>
      <c r="L13" s="12" t="s">
        <v>13</v>
      </c>
    </row>
    <row r="14" spans="2:30" x14ac:dyDescent="0.3">
      <c r="B14" s="8" t="s">
        <v>55</v>
      </c>
      <c r="C14" s="9">
        <v>0.16291928070423498</v>
      </c>
      <c r="D14" s="10">
        <v>1.6031257221296721E-2</v>
      </c>
      <c r="E14" s="10">
        <v>4.046914932693197E-2</v>
      </c>
      <c r="F14" s="10">
        <v>7.3053005467778973E-2</v>
      </c>
      <c r="G14" s="10">
        <v>0.10563686160862595</v>
      </c>
      <c r="H14" s="10">
        <v>0.13822071774947295</v>
      </c>
      <c r="I14" s="10">
        <v>0.17080457389031994</v>
      </c>
      <c r="K14" s="11" t="s">
        <v>56</v>
      </c>
      <c r="L14" s="12" t="s">
        <v>19</v>
      </c>
      <c r="Q14" s="6" t="s">
        <v>57</v>
      </c>
      <c r="R14" s="7"/>
    </row>
    <row r="15" spans="2:30" x14ac:dyDescent="0.3">
      <c r="B15" s="8" t="s">
        <v>58</v>
      </c>
      <c r="C15" s="9">
        <v>0.48320000000000002</v>
      </c>
      <c r="D15" s="10">
        <v>4.754688E-2</v>
      </c>
      <c r="E15" s="10">
        <v>0.12002688</v>
      </c>
      <c r="F15" s="10">
        <v>0.21666688000000001</v>
      </c>
      <c r="G15" s="10">
        <v>0.31330688000000001</v>
      </c>
      <c r="H15" s="10">
        <v>0.40994688000000001</v>
      </c>
      <c r="I15" s="10">
        <v>0.50658688000000007</v>
      </c>
      <c r="K15" s="11" t="s">
        <v>59</v>
      </c>
      <c r="L15" s="12" t="s">
        <v>19</v>
      </c>
      <c r="Q15" s="109" t="s">
        <v>17</v>
      </c>
      <c r="R15" s="112" t="s">
        <v>18</v>
      </c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</row>
    <row r="16" spans="2:30" x14ac:dyDescent="0.3">
      <c r="B16" s="8" t="s">
        <v>60</v>
      </c>
      <c r="C16" s="9">
        <v>1</v>
      </c>
      <c r="D16" s="10">
        <v>9.8400000000000001E-2</v>
      </c>
      <c r="E16" s="10">
        <v>0.24840000000000001</v>
      </c>
      <c r="F16" s="10">
        <v>0.44840000000000002</v>
      </c>
      <c r="G16" s="10">
        <v>0.64839999999999998</v>
      </c>
      <c r="H16" s="10">
        <v>0.84840000000000004</v>
      </c>
      <c r="I16" s="10">
        <v>1.0484</v>
      </c>
      <c r="K16" s="11" t="s">
        <v>61</v>
      </c>
      <c r="L16" s="12" t="s">
        <v>24</v>
      </c>
      <c r="Q16" s="110"/>
      <c r="R16" s="113" t="s">
        <v>23</v>
      </c>
      <c r="S16" s="114"/>
      <c r="T16" s="114"/>
      <c r="U16" s="114"/>
      <c r="V16" s="114"/>
      <c r="W16" s="114"/>
      <c r="X16" s="114"/>
      <c r="Y16" s="114"/>
      <c r="Z16" s="114"/>
      <c r="AA16" s="114"/>
      <c r="AB16" s="115"/>
      <c r="AC16" s="14"/>
      <c r="AD16" s="13"/>
    </row>
    <row r="17" spans="11:30" x14ac:dyDescent="0.3">
      <c r="K17" s="11" t="s">
        <v>62</v>
      </c>
      <c r="L17" s="12" t="s">
        <v>24</v>
      </c>
      <c r="Q17" s="110"/>
      <c r="R17" s="113" t="s">
        <v>10</v>
      </c>
      <c r="S17" s="115"/>
      <c r="T17" s="114" t="s">
        <v>28</v>
      </c>
      <c r="U17" s="114"/>
      <c r="V17" s="114"/>
      <c r="W17" s="114"/>
      <c r="X17" s="114"/>
      <c r="Y17" s="115"/>
      <c r="Z17" s="113" t="s">
        <v>29</v>
      </c>
      <c r="AA17" s="114"/>
      <c r="AB17" s="115"/>
      <c r="AC17" s="13"/>
      <c r="AD17" s="13"/>
    </row>
    <row r="18" spans="11:30" ht="28.8" x14ac:dyDescent="0.3">
      <c r="K18" s="11" t="s">
        <v>63</v>
      </c>
      <c r="L18" s="12" t="s">
        <v>30</v>
      </c>
      <c r="Q18" s="111"/>
      <c r="R18" s="19" t="s">
        <v>34</v>
      </c>
      <c r="S18" s="19" t="s">
        <v>0</v>
      </c>
      <c r="T18" s="19" t="s">
        <v>35</v>
      </c>
      <c r="U18" s="19" t="s">
        <v>36</v>
      </c>
      <c r="V18" s="19" t="s">
        <v>37</v>
      </c>
      <c r="W18" s="19" t="s">
        <v>38</v>
      </c>
      <c r="X18" s="19" t="s">
        <v>39</v>
      </c>
      <c r="Y18" s="19" t="s">
        <v>40</v>
      </c>
      <c r="Z18" s="19" t="s">
        <v>41</v>
      </c>
      <c r="AA18" s="19" t="s">
        <v>42</v>
      </c>
      <c r="AB18" s="19" t="s">
        <v>43</v>
      </c>
      <c r="AC18" s="19" t="s">
        <v>44</v>
      </c>
      <c r="AD18" s="19" t="s">
        <v>45</v>
      </c>
    </row>
    <row r="19" spans="11:30" x14ac:dyDescent="0.3">
      <c r="K19" s="11" t="s">
        <v>64</v>
      </c>
      <c r="L19" s="12" t="s">
        <v>46</v>
      </c>
      <c r="Q19" s="15"/>
      <c r="R19" s="13"/>
      <c r="S19" s="13"/>
      <c r="T19" s="13"/>
      <c r="U19" s="13"/>
      <c r="V19" s="13"/>
      <c r="W19" s="13"/>
      <c r="X19" s="13"/>
      <c r="Y19" s="13">
        <f>SUM(U19:X19)</f>
        <v>0</v>
      </c>
      <c r="Z19" s="13"/>
      <c r="AA19" s="13"/>
      <c r="AB19" s="13">
        <f>SUM(Z19:AA19)</f>
        <v>0</v>
      </c>
      <c r="AC19" s="13">
        <f>SUM(Y19,AB19)</f>
        <v>0</v>
      </c>
      <c r="AD19" s="13">
        <f>AC19-SUM(U19:V19)</f>
        <v>0</v>
      </c>
    </row>
    <row r="20" spans="11:30" x14ac:dyDescent="0.3">
      <c r="K20" s="11" t="s">
        <v>65</v>
      </c>
      <c r="L20" s="12" t="s">
        <v>50</v>
      </c>
    </row>
    <row r="21" spans="11:30" x14ac:dyDescent="0.3">
      <c r="K21" s="11" t="s">
        <v>66</v>
      </c>
      <c r="L21" s="12" t="s">
        <v>53</v>
      </c>
    </row>
    <row r="22" spans="11:30" x14ac:dyDescent="0.3">
      <c r="K22" s="11" t="s">
        <v>67</v>
      </c>
      <c r="L22" s="12" t="s">
        <v>55</v>
      </c>
    </row>
    <row r="23" spans="11:30" x14ac:dyDescent="0.3">
      <c r="K23" s="11" t="s">
        <v>68</v>
      </c>
      <c r="L23" s="12" t="s">
        <v>58</v>
      </c>
    </row>
    <row r="24" spans="11:30" x14ac:dyDescent="0.3">
      <c r="K24" s="11" t="s">
        <v>69</v>
      </c>
      <c r="L24" s="12" t="s">
        <v>58</v>
      </c>
    </row>
    <row r="25" spans="11:30" x14ac:dyDescent="0.3">
      <c r="K25" s="11" t="s">
        <v>70</v>
      </c>
      <c r="L25" s="12" t="s">
        <v>58</v>
      </c>
    </row>
    <row r="26" spans="11:30" x14ac:dyDescent="0.3">
      <c r="K26" s="11" t="s">
        <v>71</v>
      </c>
      <c r="L26" s="12" t="s">
        <v>60</v>
      </c>
    </row>
  </sheetData>
  <mergeCells count="13">
    <mergeCell ref="D3:I3"/>
    <mergeCell ref="Q7:Q10"/>
    <mergeCell ref="R7:AD7"/>
    <mergeCell ref="R8:AB8"/>
    <mergeCell ref="R9:S9"/>
    <mergeCell ref="T9:Y9"/>
    <mergeCell ref="Z9:AB9"/>
    <mergeCell ref="Q15:Q18"/>
    <mergeCell ref="R15:AD15"/>
    <mergeCell ref="R16:AB16"/>
    <mergeCell ref="R17:S17"/>
    <mergeCell ref="T17:Y17"/>
    <mergeCell ref="Z17:A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2780-6211-48E3-98B8-77E1A91F9C6B}">
  <dimension ref="B2:AE109"/>
  <sheetViews>
    <sheetView topLeftCell="J1" workbookViewId="0">
      <selection activeCell="R1" sqref="R1:AE1048576"/>
    </sheetView>
  </sheetViews>
  <sheetFormatPr defaultRowHeight="14.4" x14ac:dyDescent="0.3"/>
  <cols>
    <col min="2" max="2" width="11.6640625" bestFit="1" customWidth="1"/>
    <col min="3" max="3" width="11.6640625" style="30" customWidth="1"/>
    <col min="4" max="4" width="8.88671875" style="30" hidden="1" customWidth="1"/>
    <col min="5" max="9" width="8.88671875" style="30"/>
    <col min="10" max="10" width="10.109375" style="30" bestFit="1" customWidth="1"/>
    <col min="16" max="16" width="12.6640625" bestFit="1" customWidth="1"/>
    <col min="19" max="20" width="10.33203125" style="1" customWidth="1"/>
    <col min="21" max="21" width="10.5546875" style="1" customWidth="1"/>
    <col min="22" max="22" width="9.6640625" style="1" customWidth="1"/>
    <col min="23" max="29" width="8.88671875" style="1"/>
    <col min="30" max="30" width="10" style="1" customWidth="1"/>
    <col min="31" max="31" width="8.88671875" style="1"/>
  </cols>
  <sheetData>
    <row r="2" spans="2:31" x14ac:dyDescent="0.3">
      <c r="B2" s="26" t="s">
        <v>72</v>
      </c>
    </row>
    <row r="3" spans="2:31" x14ac:dyDescent="0.3">
      <c r="B3" s="1"/>
      <c r="C3" s="32"/>
      <c r="E3" s="117" t="s">
        <v>0</v>
      </c>
      <c r="F3" s="117"/>
      <c r="G3" s="117"/>
      <c r="H3" s="117"/>
      <c r="I3" s="117"/>
      <c r="J3" s="117"/>
    </row>
    <row r="4" spans="2:31" ht="14.4" hidden="1" customHeight="1" x14ac:dyDescent="0.3">
      <c r="B4" s="1"/>
      <c r="C4" s="32"/>
      <c r="E4" s="79">
        <v>9.8400000000000001E-2</v>
      </c>
      <c r="F4" s="79">
        <v>0.24840000000000001</v>
      </c>
      <c r="G4" s="79">
        <v>0.44840000000000002</v>
      </c>
      <c r="H4" s="79">
        <v>0.64839999999999998</v>
      </c>
      <c r="I4" s="79">
        <v>0.84840000000000004</v>
      </c>
      <c r="J4" s="79">
        <v>1.0484</v>
      </c>
    </row>
    <row r="5" spans="2:31" ht="14.4" customHeight="1" x14ac:dyDescent="0.3">
      <c r="B5" s="1"/>
      <c r="C5" s="32"/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</row>
    <row r="6" spans="2:31" ht="28.8" x14ac:dyDescent="0.3">
      <c r="B6" s="21" t="s">
        <v>1</v>
      </c>
      <c r="C6" s="22" t="s">
        <v>73</v>
      </c>
      <c r="D6" s="5" t="s">
        <v>2</v>
      </c>
      <c r="E6" s="3" t="s">
        <v>91</v>
      </c>
      <c r="F6" s="3" t="s">
        <v>91</v>
      </c>
      <c r="G6" s="3" t="s">
        <v>91</v>
      </c>
      <c r="H6" s="3" t="s">
        <v>91</v>
      </c>
      <c r="I6" s="3" t="s">
        <v>91</v>
      </c>
      <c r="J6" s="3" t="s">
        <v>91</v>
      </c>
      <c r="L6" s="5" t="s">
        <v>9</v>
      </c>
      <c r="M6" s="3" t="s">
        <v>10</v>
      </c>
      <c r="O6" s="3" t="s">
        <v>0</v>
      </c>
      <c r="P6" s="3" t="s">
        <v>11</v>
      </c>
      <c r="R6" s="6" t="s">
        <v>12</v>
      </c>
      <c r="S6" s="7"/>
    </row>
    <row r="7" spans="2:31" x14ac:dyDescent="0.3">
      <c r="B7" s="23" t="s">
        <v>13</v>
      </c>
      <c r="C7" s="28" t="s">
        <v>74</v>
      </c>
      <c r="D7" s="80">
        <v>5.128988297559403E-4</v>
      </c>
      <c r="E7" s="18">
        <v>5.0469244847984526E-5</v>
      </c>
      <c r="F7" s="18">
        <v>1.2740406931137558E-4</v>
      </c>
      <c r="G7" s="18">
        <v>2.2998383526256363E-4</v>
      </c>
      <c r="H7" s="18">
        <v>3.3256360121375166E-4</v>
      </c>
      <c r="I7" s="18">
        <v>4.3514336716493976E-4</v>
      </c>
      <c r="J7" s="18">
        <v>5.3772313311612786E-4</v>
      </c>
      <c r="L7" s="11" t="s">
        <v>14</v>
      </c>
      <c r="M7" s="12" t="s">
        <v>13</v>
      </c>
      <c r="O7" s="12" t="s">
        <v>15</v>
      </c>
      <c r="P7" s="12" t="s">
        <v>16</v>
      </c>
      <c r="R7" s="109" t="s">
        <v>17</v>
      </c>
      <c r="S7" s="112" t="s">
        <v>18</v>
      </c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</row>
    <row r="8" spans="2:31" x14ac:dyDescent="0.3">
      <c r="B8" s="24"/>
      <c r="C8" s="28" t="s">
        <v>75</v>
      </c>
      <c r="D8" s="81">
        <v>1.8610912077911504E-5</v>
      </c>
      <c r="E8" s="18">
        <v>1.831313748466492E-6</v>
      </c>
      <c r="F8" s="18">
        <v>4.6229505601532179E-6</v>
      </c>
      <c r="G8" s="18">
        <v>8.3451329757355192E-6</v>
      </c>
      <c r="H8" s="18">
        <v>1.2067315391317819E-5</v>
      </c>
      <c r="I8" s="18">
        <v>1.578949780690012E-5</v>
      </c>
      <c r="J8" s="18">
        <v>1.9511680222482423E-5</v>
      </c>
      <c r="L8" s="11" t="s">
        <v>20</v>
      </c>
      <c r="M8" s="12" t="s">
        <v>13</v>
      </c>
      <c r="O8" s="12" t="s">
        <v>21</v>
      </c>
      <c r="P8" s="12" t="s">
        <v>22</v>
      </c>
      <c r="R8" s="110"/>
      <c r="S8" s="113" t="s">
        <v>23</v>
      </c>
      <c r="T8" s="114"/>
      <c r="U8" s="114"/>
      <c r="V8" s="114"/>
      <c r="W8" s="114"/>
      <c r="X8" s="114"/>
      <c r="Y8" s="114"/>
      <c r="Z8" s="114"/>
      <c r="AA8" s="114"/>
      <c r="AB8" s="114"/>
      <c r="AC8" s="115"/>
      <c r="AD8" s="14"/>
      <c r="AE8" s="13"/>
    </row>
    <row r="9" spans="2:31" x14ac:dyDescent="0.3">
      <c r="B9" s="24"/>
      <c r="C9" s="28" t="s">
        <v>76</v>
      </c>
      <c r="D9" s="17">
        <v>5.042789342047133E-4</v>
      </c>
      <c r="E9" s="18">
        <v>4.9621047125743789E-5</v>
      </c>
      <c r="F9" s="18">
        <v>1.252628872564508E-4</v>
      </c>
      <c r="G9" s="18">
        <v>2.2611867409739344E-4</v>
      </c>
      <c r="H9" s="18">
        <v>3.2697446093833611E-4</v>
      </c>
      <c r="I9" s="18">
        <v>4.2783024777927879E-4</v>
      </c>
      <c r="J9" s="18">
        <v>5.286860346202214E-4</v>
      </c>
      <c r="L9" s="11" t="s">
        <v>25</v>
      </c>
      <c r="M9" s="12" t="s">
        <v>13</v>
      </c>
      <c r="O9" s="12" t="s">
        <v>26</v>
      </c>
      <c r="P9" s="12" t="s">
        <v>27</v>
      </c>
      <c r="R9" s="110"/>
      <c r="S9" s="113" t="s">
        <v>10</v>
      </c>
      <c r="T9" s="115"/>
      <c r="U9" s="114" t="s">
        <v>28</v>
      </c>
      <c r="V9" s="114"/>
      <c r="W9" s="114"/>
      <c r="X9" s="114"/>
      <c r="Y9" s="114"/>
      <c r="Z9" s="115"/>
      <c r="AA9" s="113" t="s">
        <v>29</v>
      </c>
      <c r="AB9" s="114"/>
      <c r="AC9" s="115"/>
      <c r="AD9" s="13"/>
      <c r="AE9" s="13"/>
    </row>
    <row r="10" spans="2:31" s="30" customFormat="1" ht="28.8" x14ac:dyDescent="0.3">
      <c r="B10" s="27" t="s">
        <v>19</v>
      </c>
      <c r="C10" s="28" t="s">
        <v>74</v>
      </c>
      <c r="D10" s="29">
        <v>3.9146795633029762E-3</v>
      </c>
      <c r="E10" s="18">
        <v>3.8520446902901289E-4</v>
      </c>
      <c r="F10" s="18">
        <v>9.7240640352445928E-4</v>
      </c>
      <c r="G10" s="18">
        <v>1.7553423161850547E-3</v>
      </c>
      <c r="H10" s="18">
        <v>2.5382782288456496E-3</v>
      </c>
      <c r="I10" s="18">
        <v>3.3212141415062454E-3</v>
      </c>
      <c r="J10" s="18">
        <v>4.1041500541668403E-3</v>
      </c>
      <c r="L10" s="11" t="s">
        <v>31</v>
      </c>
      <c r="M10" s="12" t="s">
        <v>13</v>
      </c>
      <c r="O10" s="12" t="s">
        <v>32</v>
      </c>
      <c r="P10" s="12" t="s">
        <v>33</v>
      </c>
      <c r="R10" s="111"/>
      <c r="S10" s="19" t="s">
        <v>34</v>
      </c>
      <c r="T10" s="19" t="s">
        <v>0</v>
      </c>
      <c r="U10" s="19" t="s">
        <v>35</v>
      </c>
      <c r="V10" s="19" t="s">
        <v>36</v>
      </c>
      <c r="W10" s="19" t="s">
        <v>37</v>
      </c>
      <c r="X10" s="19" t="s">
        <v>38</v>
      </c>
      <c r="Y10" s="19" t="s">
        <v>39</v>
      </c>
      <c r="Z10" s="19" t="s">
        <v>40</v>
      </c>
      <c r="AA10" s="19" t="s">
        <v>41</v>
      </c>
      <c r="AB10" s="19" t="s">
        <v>42</v>
      </c>
      <c r="AC10" s="19" t="s">
        <v>43</v>
      </c>
      <c r="AD10" s="19" t="s">
        <v>44</v>
      </c>
      <c r="AE10" s="19" t="s">
        <v>45</v>
      </c>
    </row>
    <row r="11" spans="2:31" x14ac:dyDescent="0.3">
      <c r="B11" s="24"/>
      <c r="C11" s="16" t="s">
        <v>75</v>
      </c>
      <c r="D11" s="17">
        <v>3.4656012569892771E-4</v>
      </c>
      <c r="E11" s="18">
        <v>3.4101516368774485E-5</v>
      </c>
      <c r="F11" s="18">
        <v>8.6085535223613652E-5</v>
      </c>
      <c r="G11" s="18">
        <v>1.553975603633992E-4</v>
      </c>
      <c r="H11" s="18">
        <v>2.2470958550318472E-4</v>
      </c>
      <c r="I11" s="18">
        <v>2.9402161064297027E-4</v>
      </c>
      <c r="J11" s="18">
        <v>3.6333363578275579E-4</v>
      </c>
      <c r="L11" s="11" t="s">
        <v>47</v>
      </c>
      <c r="M11" s="12" t="s">
        <v>13</v>
      </c>
      <c r="O11" s="12" t="s">
        <v>48</v>
      </c>
      <c r="P11" s="12" t="s">
        <v>49</v>
      </c>
      <c r="R11" s="15"/>
      <c r="S11" s="13"/>
      <c r="T11" s="13"/>
      <c r="U11" s="13" t="s">
        <v>103</v>
      </c>
      <c r="V11" s="13"/>
      <c r="W11" s="13"/>
      <c r="X11" s="13"/>
      <c r="Y11" s="13"/>
      <c r="Z11" s="13">
        <f>SUM(V11:Y11)</f>
        <v>0</v>
      </c>
      <c r="AA11" s="13"/>
      <c r="AB11" s="13"/>
      <c r="AC11" s="13">
        <f>SUM(AA11:AB11)</f>
        <v>0</v>
      </c>
      <c r="AD11" s="13">
        <f>SUM(Z11,AC11)</f>
        <v>0</v>
      </c>
      <c r="AE11" s="13">
        <f>AD11-SUM(V11:W11)</f>
        <v>0</v>
      </c>
    </row>
    <row r="12" spans="2:31" x14ac:dyDescent="0.3">
      <c r="B12" s="24"/>
      <c r="C12" s="28" t="s">
        <v>76</v>
      </c>
      <c r="D12" s="30">
        <v>3.8665945511875293E-3</v>
      </c>
      <c r="E12" s="18">
        <v>3.8047290383685288E-4</v>
      </c>
      <c r="F12" s="18">
        <v>9.6046208651498228E-4</v>
      </c>
      <c r="G12" s="18">
        <v>1.7337809967524881E-3</v>
      </c>
      <c r="H12" s="18">
        <v>2.507099906989994E-3</v>
      </c>
      <c r="I12" s="18">
        <v>3.2804188172274999E-3</v>
      </c>
      <c r="J12" s="18">
        <v>4.0537377274650057E-3</v>
      </c>
      <c r="L12" s="11" t="s">
        <v>51</v>
      </c>
      <c r="M12" s="12" t="s">
        <v>13</v>
      </c>
      <c r="O12" s="12" t="s">
        <v>52</v>
      </c>
      <c r="P12" s="20">
        <v>1</v>
      </c>
    </row>
    <row r="13" spans="2:31" x14ac:dyDescent="0.3">
      <c r="B13" s="23" t="s">
        <v>24</v>
      </c>
      <c r="C13" s="28" t="s">
        <v>74</v>
      </c>
      <c r="D13" s="17">
        <v>3.9718480368851053E-3</v>
      </c>
      <c r="E13" s="18">
        <v>3.9082984682949437E-4</v>
      </c>
      <c r="F13" s="18">
        <v>9.8660705236226017E-4</v>
      </c>
      <c r="G13" s="18">
        <v>1.7809766597392813E-3</v>
      </c>
      <c r="H13" s="18">
        <v>2.5753462671163022E-3</v>
      </c>
      <c r="I13" s="18">
        <v>3.3697158744933234E-3</v>
      </c>
      <c r="J13" s="18">
        <v>4.1640854818703445E-3</v>
      </c>
      <c r="L13" s="11" t="s">
        <v>54</v>
      </c>
      <c r="M13" s="12" t="s">
        <v>13</v>
      </c>
    </row>
    <row r="14" spans="2:31" x14ac:dyDescent="0.3">
      <c r="B14" s="24"/>
      <c r="C14" s="28" t="s">
        <v>75</v>
      </c>
      <c r="D14" s="17">
        <v>3.5388313036337053E-4</v>
      </c>
      <c r="E14" s="18">
        <v>3.4822100027755664E-5</v>
      </c>
      <c r="F14" s="18">
        <v>8.7904569582261243E-5</v>
      </c>
      <c r="G14" s="18">
        <v>1.5868119565493535E-4</v>
      </c>
      <c r="H14" s="18">
        <v>2.2945782172760945E-4</v>
      </c>
      <c r="I14" s="18">
        <v>3.0023444780028359E-4</v>
      </c>
      <c r="J14" s="18">
        <v>3.7101107387295764E-4</v>
      </c>
      <c r="L14" s="11" t="s">
        <v>56</v>
      </c>
      <c r="M14" s="12" t="s">
        <v>19</v>
      </c>
      <c r="R14" s="6" t="s">
        <v>57</v>
      </c>
      <c r="S14" s="7"/>
    </row>
    <row r="15" spans="2:31" x14ac:dyDescent="0.3">
      <c r="B15" s="24"/>
      <c r="C15" s="28" t="s">
        <v>76</v>
      </c>
      <c r="D15" s="17">
        <v>3.9231907894355317E-3</v>
      </c>
      <c r="E15" s="18">
        <v>3.860419736804563E-4</v>
      </c>
      <c r="F15" s="18">
        <v>9.7452059209578612E-4</v>
      </c>
      <c r="G15" s="18">
        <v>1.7591587499828924E-3</v>
      </c>
      <c r="H15" s="18">
        <v>2.5437969078699989E-3</v>
      </c>
      <c r="I15" s="18">
        <v>3.3284350657571053E-3</v>
      </c>
      <c r="J15" s="18">
        <v>4.1130732236442117E-3</v>
      </c>
      <c r="L15" s="11" t="s">
        <v>59</v>
      </c>
      <c r="M15" s="12" t="s">
        <v>19</v>
      </c>
      <c r="R15" s="109" t="s">
        <v>17</v>
      </c>
      <c r="S15" s="112" t="s">
        <v>18</v>
      </c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</row>
    <row r="16" spans="2:31" x14ac:dyDescent="0.3">
      <c r="B16" s="23" t="s">
        <v>30</v>
      </c>
      <c r="C16" s="28" t="s">
        <v>74</v>
      </c>
      <c r="D16" s="17">
        <v>8.0566536376369246E-3</v>
      </c>
      <c r="E16" s="18">
        <v>7.9277471794347344E-4</v>
      </c>
      <c r="F16" s="18">
        <v>2.001272763589012E-3</v>
      </c>
      <c r="G16" s="18">
        <v>3.6126034911163969E-3</v>
      </c>
      <c r="H16" s="18">
        <v>5.2239342186437814E-3</v>
      </c>
      <c r="I16" s="18">
        <v>6.8352649461711672E-3</v>
      </c>
      <c r="J16" s="18">
        <v>8.4465956736985513E-3</v>
      </c>
      <c r="L16" s="11" t="s">
        <v>61</v>
      </c>
      <c r="M16" s="12" t="s">
        <v>24</v>
      </c>
      <c r="R16" s="110"/>
      <c r="S16" s="113" t="s">
        <v>23</v>
      </c>
      <c r="T16" s="114"/>
      <c r="U16" s="114"/>
      <c r="V16" s="114"/>
      <c r="W16" s="114"/>
      <c r="X16" s="114"/>
      <c r="Y16" s="114"/>
      <c r="Z16" s="114"/>
      <c r="AA16" s="114"/>
      <c r="AB16" s="114"/>
      <c r="AC16" s="115"/>
      <c r="AD16" s="14"/>
      <c r="AE16" s="13"/>
    </row>
    <row r="17" spans="2:31" x14ac:dyDescent="0.3">
      <c r="B17" s="24"/>
      <c r="C17" s="28" t="s">
        <v>75</v>
      </c>
      <c r="D17" s="17">
        <v>9.8318002264147566E-4</v>
      </c>
      <c r="E17" s="18">
        <v>9.6744914227921212E-5</v>
      </c>
      <c r="F17" s="18">
        <v>2.4422191762414256E-4</v>
      </c>
      <c r="G17" s="18">
        <v>4.408579221524377E-4</v>
      </c>
      <c r="H17" s="18">
        <v>6.3749392668073284E-4</v>
      </c>
      <c r="I17" s="18">
        <v>8.3412993120902804E-4</v>
      </c>
      <c r="J17" s="18">
        <v>1.030765935737323E-3</v>
      </c>
      <c r="L17" s="11" t="s">
        <v>62</v>
      </c>
      <c r="M17" s="12" t="s">
        <v>24</v>
      </c>
      <c r="R17" s="110"/>
      <c r="S17" s="113" t="s">
        <v>10</v>
      </c>
      <c r="T17" s="115"/>
      <c r="U17" s="114" t="s">
        <v>28</v>
      </c>
      <c r="V17" s="114"/>
      <c r="W17" s="114"/>
      <c r="X17" s="114"/>
      <c r="Y17" s="114"/>
      <c r="Z17" s="115"/>
      <c r="AA17" s="113" t="s">
        <v>29</v>
      </c>
      <c r="AB17" s="114"/>
      <c r="AC17" s="115"/>
      <c r="AD17" s="13"/>
      <c r="AE17" s="13"/>
    </row>
    <row r="18" spans="2:31" s="30" customFormat="1" ht="28.8" x14ac:dyDescent="0.3">
      <c r="B18" s="31"/>
      <c r="C18" s="28" t="s">
        <v>76</v>
      </c>
      <c r="D18" s="17">
        <v>7.9709293646847059E-3</v>
      </c>
      <c r="E18" s="18">
        <v>7.8433944948497506E-4</v>
      </c>
      <c r="F18" s="18">
        <v>1.979978854187681E-3</v>
      </c>
      <c r="G18" s="18">
        <v>3.5741647271246221E-3</v>
      </c>
      <c r="H18" s="18">
        <v>5.1683506000615633E-3</v>
      </c>
      <c r="I18" s="18">
        <v>6.7625364729985045E-3</v>
      </c>
      <c r="J18" s="18">
        <v>8.3567223459354457E-3</v>
      </c>
      <c r="L18" s="11" t="s">
        <v>63</v>
      </c>
      <c r="M18" s="12" t="s">
        <v>30</v>
      </c>
      <c r="R18" s="111"/>
      <c r="S18" s="19" t="s">
        <v>34</v>
      </c>
      <c r="T18" s="19" t="s">
        <v>0</v>
      </c>
      <c r="U18" s="19" t="s">
        <v>35</v>
      </c>
      <c r="V18" s="19" t="s">
        <v>36</v>
      </c>
      <c r="W18" s="19" t="s">
        <v>37</v>
      </c>
      <c r="X18" s="19" t="s">
        <v>38</v>
      </c>
      <c r="Y18" s="19" t="s">
        <v>39</v>
      </c>
      <c r="Z18" s="19" t="s">
        <v>40</v>
      </c>
      <c r="AA18" s="19" t="s">
        <v>41</v>
      </c>
      <c r="AB18" s="19" t="s">
        <v>42</v>
      </c>
      <c r="AC18" s="19" t="s">
        <v>43</v>
      </c>
      <c r="AD18" s="19" t="s">
        <v>44</v>
      </c>
      <c r="AE18" s="19" t="s">
        <v>45</v>
      </c>
    </row>
    <row r="19" spans="2:31" x14ac:dyDescent="0.3">
      <c r="B19" s="23" t="s">
        <v>46</v>
      </c>
      <c r="C19" s="28" t="s">
        <v>74</v>
      </c>
      <c r="D19" s="17">
        <v>1.688647657860887E-2</v>
      </c>
      <c r="E19" s="18">
        <v>1.6616292953351129E-3</v>
      </c>
      <c r="F19" s="18">
        <v>4.1946007821264432E-3</v>
      </c>
      <c r="G19" s="18">
        <v>7.5718960978482181E-3</v>
      </c>
      <c r="H19" s="18">
        <v>1.0949191413569991E-2</v>
      </c>
      <c r="I19" s="18">
        <v>1.4326486729291767E-2</v>
      </c>
      <c r="J19" s="18">
        <v>1.7703782045013539E-2</v>
      </c>
      <c r="L19" s="11" t="s">
        <v>64</v>
      </c>
      <c r="M19" s="12" t="s">
        <v>46</v>
      </c>
      <c r="R19" s="15"/>
      <c r="S19" s="13"/>
      <c r="T19" s="13"/>
      <c r="U19" s="13"/>
      <c r="V19" s="13"/>
      <c r="W19" s="13"/>
      <c r="X19" s="13"/>
      <c r="Y19" s="13"/>
      <c r="Z19" s="13">
        <f>SUM(V19:Y19)</f>
        <v>0</v>
      </c>
      <c r="AA19" s="13"/>
      <c r="AB19" s="13"/>
      <c r="AC19" s="13">
        <f>SUM(AA19:AB19)</f>
        <v>0</v>
      </c>
      <c r="AD19" s="13">
        <f>SUM(Z19,AC19)</f>
        <v>0</v>
      </c>
      <c r="AE19" s="13">
        <f>AD19-SUM(V19:W19)</f>
        <v>0</v>
      </c>
    </row>
    <row r="20" spans="2:31" x14ac:dyDescent="0.3">
      <c r="B20" s="24"/>
      <c r="C20" s="28" t="s">
        <v>75</v>
      </c>
      <c r="D20" s="17">
        <v>2.8802314002521374E-3</v>
      </c>
      <c r="E20" s="18">
        <v>2.8341476978481034E-4</v>
      </c>
      <c r="F20" s="18">
        <v>7.1544947982263101E-4</v>
      </c>
      <c r="G20" s="18">
        <v>1.2914957598730585E-3</v>
      </c>
      <c r="H20" s="18">
        <v>1.8675420399234858E-3</v>
      </c>
      <c r="I20" s="18">
        <v>2.4435883199739137E-3</v>
      </c>
      <c r="J20" s="18">
        <v>3.0196346000243408E-3</v>
      </c>
      <c r="L20" s="11" t="s">
        <v>65</v>
      </c>
      <c r="M20" s="12" t="s">
        <v>50</v>
      </c>
    </row>
    <row r="21" spans="2:31" x14ac:dyDescent="0.3">
      <c r="B21" s="24"/>
      <c r="C21" s="28" t="s">
        <v>76</v>
      </c>
      <c r="D21" s="17">
        <v>1.6735945257844307E-2</v>
      </c>
      <c r="E21" s="18">
        <v>1.6468170133718798E-3</v>
      </c>
      <c r="F21" s="18">
        <v>4.1572088020485256E-3</v>
      </c>
      <c r="G21" s="18">
        <v>7.504397853617388E-3</v>
      </c>
      <c r="H21" s="18">
        <v>1.0851586905186249E-2</v>
      </c>
      <c r="I21" s="18">
        <v>1.4198775956755111E-2</v>
      </c>
      <c r="J21" s="18">
        <v>1.754596500832397E-2</v>
      </c>
      <c r="L21" s="11" t="s">
        <v>66</v>
      </c>
      <c r="M21" s="12" t="s">
        <v>53</v>
      </c>
    </row>
    <row r="22" spans="2:31" x14ac:dyDescent="0.3">
      <c r="B22" s="23" t="s">
        <v>50</v>
      </c>
      <c r="C22" s="28" t="s">
        <v>74</v>
      </c>
      <c r="D22" s="17">
        <v>3.5998536612374593E-2</v>
      </c>
      <c r="E22" s="18">
        <v>3.5422560026576598E-3</v>
      </c>
      <c r="F22" s="18">
        <v>8.9420364945138487E-3</v>
      </c>
      <c r="G22" s="18">
        <v>1.6141743816988768E-2</v>
      </c>
      <c r="H22" s="18">
        <v>2.3341451139463686E-2</v>
      </c>
      <c r="I22" s="18">
        <v>3.0541158461938608E-2</v>
      </c>
      <c r="J22" s="18">
        <v>3.7740865784413526E-2</v>
      </c>
      <c r="L22" s="11" t="s">
        <v>67</v>
      </c>
      <c r="M22" s="12" t="s">
        <v>55</v>
      </c>
    </row>
    <row r="23" spans="2:31" x14ac:dyDescent="0.3">
      <c r="B23" s="24"/>
      <c r="C23" s="28" t="s">
        <v>75</v>
      </c>
      <c r="D23" s="17">
        <v>8.7469529492279364E-3</v>
      </c>
      <c r="E23" s="18">
        <v>8.6070017020402898E-4</v>
      </c>
      <c r="F23" s="18">
        <v>2.1727431125882195E-3</v>
      </c>
      <c r="G23" s="18">
        <v>3.9221337024338068E-3</v>
      </c>
      <c r="H23" s="18">
        <v>5.6715242922793941E-3</v>
      </c>
      <c r="I23" s="18">
        <v>7.4209148821249814E-3</v>
      </c>
      <c r="J23" s="18">
        <v>9.1703054719705687E-3</v>
      </c>
      <c r="L23" s="11" t="s">
        <v>68</v>
      </c>
      <c r="M23" s="12" t="s">
        <v>58</v>
      </c>
    </row>
    <row r="24" spans="2:31" x14ac:dyDescent="0.3">
      <c r="B24" s="24"/>
      <c r="C24" s="28" t="s">
        <v>76</v>
      </c>
      <c r="D24" s="17">
        <v>3.5743697524766992E-2</v>
      </c>
      <c r="E24" s="18">
        <v>3.517179836437072E-3</v>
      </c>
      <c r="F24" s="18">
        <v>8.8787344651521209E-3</v>
      </c>
      <c r="G24" s="18">
        <v>1.6027473970105521E-2</v>
      </c>
      <c r="H24" s="18">
        <v>2.3176213475058917E-2</v>
      </c>
      <c r="I24" s="18">
        <v>3.0324952980012317E-2</v>
      </c>
      <c r="J24" s="18">
        <v>3.7473692484965716E-2</v>
      </c>
      <c r="L24" s="11" t="s">
        <v>69</v>
      </c>
      <c r="M24" s="12" t="s">
        <v>58</v>
      </c>
    </row>
    <row r="25" spans="2:31" x14ac:dyDescent="0.3">
      <c r="B25" s="23" t="s">
        <v>53</v>
      </c>
      <c r="C25" s="28" t="s">
        <v>74</v>
      </c>
      <c r="D25" s="17">
        <v>6.295958618689064E-2</v>
      </c>
      <c r="E25" s="18">
        <v>6.1952232807900394E-3</v>
      </c>
      <c r="F25" s="18">
        <v>1.5639161208823634E-2</v>
      </c>
      <c r="G25" s="18">
        <v>2.8231078446201763E-2</v>
      </c>
      <c r="H25" s="18">
        <v>4.0822995683579888E-2</v>
      </c>
      <c r="I25" s="18">
        <v>5.341491292095802E-2</v>
      </c>
      <c r="J25" s="18">
        <v>6.6006830158336152E-2</v>
      </c>
      <c r="L25" s="11" t="s">
        <v>70</v>
      </c>
      <c r="M25" s="12" t="s">
        <v>58</v>
      </c>
    </row>
    <row r="26" spans="2:31" x14ac:dyDescent="0.3">
      <c r="B26" s="24"/>
      <c r="C26" s="28" t="s">
        <v>75</v>
      </c>
      <c r="D26" s="17">
        <v>2.0124920726298613E-2</v>
      </c>
      <c r="E26" s="18">
        <v>1.9802921994677837E-3</v>
      </c>
      <c r="F26" s="18">
        <v>4.9990303084125757E-3</v>
      </c>
      <c r="G26" s="18">
        <v>9.024014453672298E-3</v>
      </c>
      <c r="H26" s="18">
        <v>1.3048998598932019E-2</v>
      </c>
      <c r="I26" s="18">
        <v>1.7073982744191744E-2</v>
      </c>
      <c r="J26" s="18">
        <v>2.1098966889451464E-2</v>
      </c>
      <c r="L26" s="11" t="s">
        <v>71</v>
      </c>
      <c r="M26" s="12" t="s">
        <v>60</v>
      </c>
    </row>
    <row r="27" spans="2:31" x14ac:dyDescent="0.3">
      <c r="B27" s="24"/>
      <c r="C27" s="28" t="s">
        <v>76</v>
      </c>
      <c r="D27" s="17">
        <v>6.2603416826154529E-2</v>
      </c>
      <c r="E27" s="18">
        <v>6.1601762156936061E-3</v>
      </c>
      <c r="F27" s="18">
        <v>1.5550688739616786E-2</v>
      </c>
      <c r="G27" s="18">
        <v>2.8071372104847694E-2</v>
      </c>
      <c r="H27" s="18">
        <v>4.0592055470078596E-2</v>
      </c>
      <c r="I27" s="18">
        <v>5.3112738835309502E-2</v>
      </c>
      <c r="J27" s="18">
        <v>6.5633422200540414E-2</v>
      </c>
    </row>
    <row r="28" spans="2:31" x14ac:dyDescent="0.3">
      <c r="B28" s="23" t="s">
        <v>55</v>
      </c>
      <c r="C28" s="28" t="s">
        <v>74</v>
      </c>
      <c r="D28" s="17">
        <v>0.14546795204464036</v>
      </c>
      <c r="E28" s="18">
        <v>1.4314046481192612E-2</v>
      </c>
      <c r="F28" s="18">
        <v>3.613423928788867E-2</v>
      </c>
      <c r="G28" s="18">
        <v>6.5227829696816744E-2</v>
      </c>
      <c r="H28" s="18">
        <v>9.4321420105744805E-2</v>
      </c>
      <c r="I28" s="18">
        <v>0.12341501051467289</v>
      </c>
      <c r="J28" s="18">
        <v>0.15250860092360094</v>
      </c>
    </row>
    <row r="29" spans="2:31" x14ac:dyDescent="0.3">
      <c r="B29" s="24"/>
      <c r="C29" s="28" t="s">
        <v>75</v>
      </c>
      <c r="D29" s="17">
        <v>7.2547717222261263E-2</v>
      </c>
      <c r="E29" s="18">
        <v>7.1386953746705086E-3</v>
      </c>
      <c r="F29" s="18">
        <v>1.80208529580097E-2</v>
      </c>
      <c r="G29" s="18">
        <v>3.2530396402461949E-2</v>
      </c>
      <c r="H29" s="18">
        <v>4.7039939846914201E-2</v>
      </c>
      <c r="I29" s="18">
        <v>6.1549483291366461E-2</v>
      </c>
      <c r="J29" s="18">
        <v>7.6059026735818713E-2</v>
      </c>
    </row>
    <row r="30" spans="2:31" x14ac:dyDescent="0.3">
      <c r="B30" s="24"/>
      <c r="C30" s="28" t="s">
        <v>76</v>
      </c>
      <c r="D30" s="17">
        <v>0.14497506663736243</v>
      </c>
      <c r="E30" s="18">
        <v>1.4265546557116463E-2</v>
      </c>
      <c r="F30" s="18">
        <v>3.6011806552720828E-2</v>
      </c>
      <c r="G30" s="18">
        <v>6.5006819880193314E-2</v>
      </c>
      <c r="H30" s="18">
        <v>9.4001833207665794E-2</v>
      </c>
      <c r="I30" s="18">
        <v>0.12299684653513829</v>
      </c>
      <c r="J30" s="18">
        <v>0.15199185986261077</v>
      </c>
    </row>
    <row r="31" spans="2:31" x14ac:dyDescent="0.3">
      <c r="B31" s="23" t="s">
        <v>58</v>
      </c>
      <c r="C31" s="28" t="s">
        <v>74</v>
      </c>
      <c r="D31" s="17">
        <v>0.48564592920304561</v>
      </c>
      <c r="E31" s="18">
        <v>4.7787559433579686E-2</v>
      </c>
      <c r="F31" s="18">
        <v>0.12063444881403654</v>
      </c>
      <c r="G31" s="18">
        <v>0.21776363465464565</v>
      </c>
      <c r="H31" s="18">
        <v>0.31489282049525474</v>
      </c>
      <c r="I31" s="18">
        <v>0.41202200633586394</v>
      </c>
      <c r="J31" s="18">
        <v>0.50915119217647298</v>
      </c>
    </row>
    <row r="32" spans="2:31" x14ac:dyDescent="0.3">
      <c r="B32" s="24"/>
      <c r="C32" s="28" t="s">
        <v>75</v>
      </c>
      <c r="D32" s="17">
        <v>0.479341443432446</v>
      </c>
      <c r="E32" s="18">
        <v>4.7167198033752689E-2</v>
      </c>
      <c r="F32" s="18">
        <v>0.11906841454861959</v>
      </c>
      <c r="G32" s="18">
        <v>0.2149367032351088</v>
      </c>
      <c r="H32" s="18">
        <v>0.310804991921598</v>
      </c>
      <c r="I32" s="18">
        <v>0.40667328060808722</v>
      </c>
      <c r="J32" s="18">
        <v>0.50254156929457638</v>
      </c>
    </row>
    <row r="33" spans="2:10" x14ac:dyDescent="0.3">
      <c r="B33" s="24"/>
      <c r="C33" s="28" t="s">
        <v>76</v>
      </c>
      <c r="D33" s="17">
        <v>0.48561373698170018</v>
      </c>
      <c r="E33" s="18">
        <v>4.77843917189993E-2</v>
      </c>
      <c r="F33" s="18">
        <v>0.12062645226625433</v>
      </c>
      <c r="G33" s="18">
        <v>0.21774919966259437</v>
      </c>
      <c r="H33" s="18">
        <v>0.3148719470589344</v>
      </c>
      <c r="I33" s="18">
        <v>0.41199469445527448</v>
      </c>
      <c r="J33" s="18">
        <v>0.50911744185161445</v>
      </c>
    </row>
    <row r="34" spans="2:10" x14ac:dyDescent="0.3">
      <c r="B34" s="23" t="s">
        <v>60</v>
      </c>
      <c r="C34" s="28" t="s">
        <v>74</v>
      </c>
      <c r="D34" s="17">
        <v>1</v>
      </c>
      <c r="E34" s="18">
        <v>9.8400000000000001E-2</v>
      </c>
      <c r="F34" s="18">
        <v>0.24840000000000001</v>
      </c>
      <c r="G34" s="18">
        <v>0.44840000000000002</v>
      </c>
      <c r="H34" s="18">
        <v>0.64839999999999998</v>
      </c>
      <c r="I34" s="18">
        <v>0.84840000000000004</v>
      </c>
      <c r="J34" s="18">
        <v>1.0484</v>
      </c>
    </row>
    <row r="35" spans="2:10" x14ac:dyDescent="0.3">
      <c r="B35" s="24"/>
      <c r="C35" s="28" t="s">
        <v>75</v>
      </c>
      <c r="D35" s="17">
        <v>1</v>
      </c>
      <c r="E35" s="18">
        <v>9.8400000000000001E-2</v>
      </c>
      <c r="F35" s="18">
        <v>0.24840000000000001</v>
      </c>
      <c r="G35" s="18">
        <v>0.44840000000000002</v>
      </c>
      <c r="H35" s="18">
        <v>0.64839999999999998</v>
      </c>
      <c r="I35" s="18">
        <v>0.84840000000000004</v>
      </c>
      <c r="J35" s="18">
        <v>1.0484</v>
      </c>
    </row>
    <row r="36" spans="2:10" x14ac:dyDescent="0.3">
      <c r="B36" s="25"/>
      <c r="C36" s="28" t="s">
        <v>76</v>
      </c>
      <c r="D36" s="17">
        <v>1</v>
      </c>
      <c r="E36" s="18">
        <v>9.8400000000000001E-2</v>
      </c>
      <c r="F36" s="18">
        <v>0.24840000000000001</v>
      </c>
      <c r="G36" s="18">
        <v>0.44840000000000002</v>
      </c>
      <c r="H36" s="18">
        <v>0.64839999999999998</v>
      </c>
      <c r="I36" s="18">
        <v>0.84840000000000004</v>
      </c>
      <c r="J36" s="18">
        <v>1.0484</v>
      </c>
    </row>
    <row r="39" spans="2:10" x14ac:dyDescent="0.3">
      <c r="B39" s="26" t="s">
        <v>77</v>
      </c>
    </row>
    <row r="40" spans="2:10" x14ac:dyDescent="0.3">
      <c r="B40" s="1"/>
      <c r="C40" s="32"/>
      <c r="E40" s="117" t="s">
        <v>0</v>
      </c>
      <c r="F40" s="117"/>
      <c r="G40" s="117"/>
      <c r="H40" s="117"/>
      <c r="I40" s="117"/>
      <c r="J40" s="117"/>
    </row>
    <row r="41" spans="2:10" ht="14.4" hidden="1" customHeight="1" x14ac:dyDescent="0.3">
      <c r="B41" s="1"/>
      <c r="C41" s="32"/>
      <c r="E41" s="79">
        <v>9.8400000000000001E-2</v>
      </c>
      <c r="F41" s="79">
        <v>0.24840000000000001</v>
      </c>
      <c r="G41" s="79">
        <v>0.44840000000000002</v>
      </c>
      <c r="H41" s="79">
        <v>0.64839999999999998</v>
      </c>
      <c r="I41" s="79">
        <v>0.84840000000000004</v>
      </c>
      <c r="J41" s="79">
        <v>1.0484</v>
      </c>
    </row>
    <row r="42" spans="2:10" ht="14.4" customHeight="1" x14ac:dyDescent="0.3">
      <c r="B42" s="1"/>
      <c r="C42" s="32"/>
      <c r="E42" s="3" t="s">
        <v>3</v>
      </c>
      <c r="F42" s="3" t="s">
        <v>4</v>
      </c>
      <c r="G42" s="3" t="s">
        <v>5</v>
      </c>
      <c r="H42" s="3" t="s">
        <v>6</v>
      </c>
      <c r="I42" s="3" t="s">
        <v>7</v>
      </c>
      <c r="J42" s="3" t="s">
        <v>8</v>
      </c>
    </row>
    <row r="43" spans="2:10" x14ac:dyDescent="0.3">
      <c r="B43" s="21" t="s">
        <v>1</v>
      </c>
      <c r="C43" s="22" t="s">
        <v>73</v>
      </c>
      <c r="D43" s="5" t="s">
        <v>2</v>
      </c>
      <c r="E43" s="3" t="s">
        <v>91</v>
      </c>
      <c r="F43" s="3" t="s">
        <v>91</v>
      </c>
      <c r="G43" s="3" t="s">
        <v>91</v>
      </c>
      <c r="H43" s="3" t="s">
        <v>91</v>
      </c>
      <c r="I43" s="3" t="s">
        <v>91</v>
      </c>
      <c r="J43" s="3" t="s">
        <v>91</v>
      </c>
    </row>
    <row r="44" spans="2:10" x14ac:dyDescent="0.3">
      <c r="B44" s="23" t="s">
        <v>13</v>
      </c>
      <c r="C44" s="28" t="s">
        <v>74</v>
      </c>
      <c r="D44" s="80">
        <v>1.3525812951019119E-3</v>
      </c>
      <c r="E44" s="18">
        <v>1.3309399943802814E-4</v>
      </c>
      <c r="F44" s="18">
        <v>3.3598119370331495E-4</v>
      </c>
      <c r="G44" s="18">
        <v>6.0649745272369729E-4</v>
      </c>
      <c r="H44" s="18">
        <v>8.7701371174407964E-4</v>
      </c>
      <c r="I44" s="18">
        <v>1.1475299707644621E-3</v>
      </c>
      <c r="J44" s="18">
        <v>1.4180462297848444E-3</v>
      </c>
    </row>
    <row r="45" spans="2:10" x14ac:dyDescent="0.3">
      <c r="B45" s="24"/>
      <c r="C45" s="28" t="s">
        <v>75</v>
      </c>
      <c r="D45" s="81">
        <v>3.9291039657490345E-5</v>
      </c>
      <c r="E45" s="18">
        <v>3.86623830229705E-6</v>
      </c>
      <c r="F45" s="18">
        <v>9.7598942509206016E-6</v>
      </c>
      <c r="G45" s="18">
        <v>1.7618102182418671E-5</v>
      </c>
      <c r="H45" s="18">
        <v>2.5476310113916739E-5</v>
      </c>
      <c r="I45" s="18">
        <v>3.333451804541481E-5</v>
      </c>
      <c r="J45" s="18">
        <v>4.1192725976912878E-5</v>
      </c>
    </row>
    <row r="46" spans="2:10" x14ac:dyDescent="0.3">
      <c r="B46" s="24"/>
      <c r="C46" s="28" t="s">
        <v>76</v>
      </c>
      <c r="D46" s="17">
        <v>1.3676317234310304E-3</v>
      </c>
      <c r="E46" s="18">
        <v>1.345749615856134E-4</v>
      </c>
      <c r="F46" s="18">
        <v>3.3971972010026798E-4</v>
      </c>
      <c r="G46" s="18">
        <v>6.1324606478647405E-4</v>
      </c>
      <c r="H46" s="18">
        <v>8.8677240947268002E-4</v>
      </c>
      <c r="I46" s="18">
        <v>1.1602987541588863E-3</v>
      </c>
      <c r="J46" s="18">
        <v>1.4338250988450922E-3</v>
      </c>
    </row>
    <row r="47" spans="2:10" x14ac:dyDescent="0.3">
      <c r="B47" s="23" t="s">
        <v>19</v>
      </c>
      <c r="C47" s="28" t="s">
        <v>74</v>
      </c>
      <c r="D47" s="29">
        <v>7.9095032288224124E-3</v>
      </c>
      <c r="E47" s="18">
        <v>7.782951177161254E-4</v>
      </c>
      <c r="F47" s="18">
        <v>1.9647206020394874E-3</v>
      </c>
      <c r="G47" s="18">
        <v>3.5466212478039699E-3</v>
      </c>
      <c r="H47" s="18">
        <v>5.1285218935684523E-3</v>
      </c>
      <c r="I47" s="18">
        <v>6.7104225393329348E-3</v>
      </c>
      <c r="J47" s="18">
        <v>8.2923231850974173E-3</v>
      </c>
    </row>
    <row r="48" spans="2:10" x14ac:dyDescent="0.3">
      <c r="B48" s="24"/>
      <c r="C48" s="16" t="s">
        <v>75</v>
      </c>
      <c r="D48" s="17">
        <v>5.9762882004910165E-4</v>
      </c>
      <c r="E48" s="18">
        <v>5.8806675892831604E-5</v>
      </c>
      <c r="F48" s="18">
        <v>1.4845099890019686E-4</v>
      </c>
      <c r="G48" s="18">
        <v>2.6797676291001718E-4</v>
      </c>
      <c r="H48" s="18">
        <v>3.8750252691983748E-4</v>
      </c>
      <c r="I48" s="18">
        <v>5.0702829092965783E-4</v>
      </c>
      <c r="J48" s="18">
        <v>6.2655405493947818E-4</v>
      </c>
    </row>
    <row r="49" spans="2:10" x14ac:dyDescent="0.3">
      <c r="B49" s="24"/>
      <c r="C49" s="28" t="s">
        <v>76</v>
      </c>
      <c r="D49" s="17">
        <v>7.9739017325017245E-3</v>
      </c>
      <c r="E49" s="18">
        <v>7.8463193047816971E-4</v>
      </c>
      <c r="F49" s="18">
        <v>1.9807171903534282E-3</v>
      </c>
      <c r="G49" s="18">
        <v>3.5754975368537732E-3</v>
      </c>
      <c r="H49" s="18">
        <v>5.1702778833541182E-3</v>
      </c>
      <c r="I49" s="18">
        <v>6.7650582298544636E-3</v>
      </c>
      <c r="J49" s="18">
        <v>8.3598385763548073E-3</v>
      </c>
    </row>
    <row r="50" spans="2:10" x14ac:dyDescent="0.3">
      <c r="B50" s="23" t="s">
        <v>24</v>
      </c>
      <c r="C50" s="28" t="s">
        <v>74</v>
      </c>
      <c r="D50" s="17">
        <v>8.0096176173852889E-3</v>
      </c>
      <c r="E50" s="18">
        <v>7.8814637355071248E-4</v>
      </c>
      <c r="F50" s="18">
        <v>1.9895890161585059E-3</v>
      </c>
      <c r="G50" s="18">
        <v>3.5915125396355635E-3</v>
      </c>
      <c r="H50" s="18">
        <v>5.1934360631126211E-3</v>
      </c>
      <c r="I50" s="18">
        <v>6.7953595865896796E-3</v>
      </c>
      <c r="J50" s="18">
        <v>8.3972831100667372E-3</v>
      </c>
    </row>
    <row r="51" spans="2:10" x14ac:dyDescent="0.3">
      <c r="B51" s="24"/>
      <c r="C51" s="28" t="s">
        <v>75</v>
      </c>
      <c r="D51" s="17">
        <v>6.0937495683057786E-4</v>
      </c>
      <c r="E51" s="18">
        <v>5.9962495752128862E-5</v>
      </c>
      <c r="F51" s="18">
        <v>1.5136873927671553E-4</v>
      </c>
      <c r="G51" s="18">
        <v>2.7324373064283112E-4</v>
      </c>
      <c r="H51" s="18">
        <v>3.9511872200894668E-4</v>
      </c>
      <c r="I51" s="18">
        <v>5.1699371337506224E-4</v>
      </c>
      <c r="J51" s="18">
        <v>6.3886870474117786E-4</v>
      </c>
    </row>
    <row r="52" spans="2:10" x14ac:dyDescent="0.3">
      <c r="B52" s="24"/>
      <c r="C52" s="28" t="s">
        <v>76</v>
      </c>
      <c r="D52" s="17">
        <v>8.0746572302480366E-3</v>
      </c>
      <c r="E52" s="18">
        <v>7.9454627145640686E-4</v>
      </c>
      <c r="F52" s="18">
        <v>2.0057448559936122E-3</v>
      </c>
      <c r="G52" s="18">
        <v>3.6206763020432196E-3</v>
      </c>
      <c r="H52" s="18">
        <v>5.235607748092827E-3</v>
      </c>
      <c r="I52" s="18">
        <v>6.8505391941424349E-3</v>
      </c>
      <c r="J52" s="18">
        <v>8.465470640192041E-3</v>
      </c>
    </row>
    <row r="53" spans="2:10" x14ac:dyDescent="0.3">
      <c r="B53" s="23" t="s">
        <v>30</v>
      </c>
      <c r="C53" s="28" t="s">
        <v>74</v>
      </c>
      <c r="D53" s="17">
        <v>1.47840983294399E-2</v>
      </c>
      <c r="E53" s="18">
        <v>1.4547552756168862E-3</v>
      </c>
      <c r="F53" s="18">
        <v>3.6723700250328711E-3</v>
      </c>
      <c r="G53" s="18">
        <v>6.6291896909208515E-3</v>
      </c>
      <c r="H53" s="18">
        <v>9.5860093568088302E-3</v>
      </c>
      <c r="I53" s="18">
        <v>1.2542829022696812E-2</v>
      </c>
      <c r="J53" s="18">
        <v>1.5499648688584791E-2</v>
      </c>
    </row>
    <row r="54" spans="2:10" x14ac:dyDescent="0.3">
      <c r="B54" s="24"/>
      <c r="C54" s="28" t="s">
        <v>75</v>
      </c>
      <c r="D54" s="17">
        <v>1.5773369206204982E-3</v>
      </c>
      <c r="E54" s="18">
        <v>1.5520995298905701E-4</v>
      </c>
      <c r="F54" s="18">
        <v>3.9181049108213175E-4</v>
      </c>
      <c r="G54" s="18">
        <v>7.0727787520623146E-4</v>
      </c>
      <c r="H54" s="18">
        <v>1.0227452593303309E-3</v>
      </c>
      <c r="I54" s="18">
        <v>1.3382126434544307E-3</v>
      </c>
      <c r="J54" s="18">
        <v>1.6536800275785302E-3</v>
      </c>
    </row>
    <row r="55" spans="2:10" x14ac:dyDescent="0.3">
      <c r="B55" s="24"/>
      <c r="C55" s="28" t="s">
        <v>76</v>
      </c>
      <c r="D55" s="17">
        <v>1.4888299626772546E-2</v>
      </c>
      <c r="E55" s="18">
        <v>1.4650086832744184E-3</v>
      </c>
      <c r="F55" s="18">
        <v>3.6982536272903007E-3</v>
      </c>
      <c r="G55" s="18">
        <v>6.6759135526448096E-3</v>
      </c>
      <c r="H55" s="18">
        <v>9.6535734779993193E-3</v>
      </c>
      <c r="I55" s="18">
        <v>1.2631233403353828E-2</v>
      </c>
      <c r="J55" s="18">
        <v>1.5608893328708337E-2</v>
      </c>
    </row>
    <row r="56" spans="2:10" x14ac:dyDescent="0.3">
      <c r="B56" s="23" t="s">
        <v>46</v>
      </c>
      <c r="C56" s="28" t="s">
        <v>74</v>
      </c>
      <c r="D56" s="17">
        <v>2.8015045210925887E-2</v>
      </c>
      <c r="E56" s="18">
        <v>2.7566804487551074E-3</v>
      </c>
      <c r="F56" s="18">
        <v>6.9589372303939905E-3</v>
      </c>
      <c r="G56" s="18">
        <v>1.2561946272579168E-2</v>
      </c>
      <c r="H56" s="18">
        <v>1.8164955314764343E-2</v>
      </c>
      <c r="I56" s="18">
        <v>2.3767964356949525E-2</v>
      </c>
      <c r="J56" s="18">
        <v>2.9370973399134699E-2</v>
      </c>
    </row>
    <row r="57" spans="2:10" x14ac:dyDescent="0.3">
      <c r="B57" s="24"/>
      <c r="C57" s="28" t="s">
        <v>75</v>
      </c>
      <c r="D57" s="17">
        <v>4.2875592698694721E-3</v>
      </c>
      <c r="E57" s="18">
        <v>4.2189583215515607E-4</v>
      </c>
      <c r="F57" s="18">
        <v>1.0650297226355769E-3</v>
      </c>
      <c r="G57" s="18">
        <v>1.9225415766094714E-3</v>
      </c>
      <c r="H57" s="18">
        <v>2.7800534305833656E-3</v>
      </c>
      <c r="I57" s="18">
        <v>3.6375652845572603E-3</v>
      </c>
      <c r="J57" s="18">
        <v>4.4950771385311545E-3</v>
      </c>
    </row>
    <row r="58" spans="2:10" x14ac:dyDescent="0.3">
      <c r="B58" s="24"/>
      <c r="C58" s="28" t="s">
        <v>76</v>
      </c>
      <c r="D58" s="17">
        <v>2.8180147070926712E-2</v>
      </c>
      <c r="E58" s="18">
        <v>2.7729264717791884E-3</v>
      </c>
      <c r="F58" s="18">
        <v>6.9999485324181952E-3</v>
      </c>
      <c r="G58" s="18">
        <v>1.2635977946603538E-2</v>
      </c>
      <c r="H58" s="18">
        <v>1.8272007360788878E-2</v>
      </c>
      <c r="I58" s="18">
        <v>2.3908036774974224E-2</v>
      </c>
      <c r="J58" s="18">
        <v>2.9544066189159564E-2</v>
      </c>
    </row>
    <row r="59" spans="2:10" x14ac:dyDescent="0.3">
      <c r="B59" s="23" t="s">
        <v>50</v>
      </c>
      <c r="C59" s="28" t="s">
        <v>74</v>
      </c>
      <c r="D59" s="17">
        <v>5.3679461436675249E-2</v>
      </c>
      <c r="E59" s="18">
        <v>5.2820590053688447E-3</v>
      </c>
      <c r="F59" s="18">
        <v>1.3333978220870133E-2</v>
      </c>
      <c r="G59" s="18">
        <v>2.4069870508205183E-2</v>
      </c>
      <c r="H59" s="18">
        <v>3.4805762795540228E-2</v>
      </c>
      <c r="I59" s="18">
        <v>4.5541655082875283E-2</v>
      </c>
      <c r="J59" s="18">
        <v>5.6277547370210332E-2</v>
      </c>
    </row>
    <row r="60" spans="2:10" x14ac:dyDescent="0.3">
      <c r="B60" s="24"/>
      <c r="C60" s="28" t="s">
        <v>75</v>
      </c>
      <c r="D60" s="17">
        <v>1.2037130301586872E-2</v>
      </c>
      <c r="E60" s="18">
        <v>1.1844536216761483E-3</v>
      </c>
      <c r="F60" s="18">
        <v>2.9900231669141792E-3</v>
      </c>
      <c r="G60" s="18">
        <v>5.3974492272315534E-3</v>
      </c>
      <c r="H60" s="18">
        <v>7.8048752875489276E-3</v>
      </c>
      <c r="I60" s="18">
        <v>1.0212301347866302E-2</v>
      </c>
      <c r="J60" s="18">
        <v>1.2619727408183677E-2</v>
      </c>
    </row>
    <row r="61" spans="2:10" x14ac:dyDescent="0.3">
      <c r="B61" s="24"/>
      <c r="C61" s="28" t="s">
        <v>76</v>
      </c>
      <c r="D61" s="17">
        <v>5.3929706251907295E-2</v>
      </c>
      <c r="E61" s="18">
        <v>5.3066830951876776E-3</v>
      </c>
      <c r="F61" s="18">
        <v>1.3396139032973773E-2</v>
      </c>
      <c r="G61" s="18">
        <v>2.4182080283355233E-2</v>
      </c>
      <c r="H61" s="18">
        <v>3.4968021533736689E-2</v>
      </c>
      <c r="I61" s="18">
        <v>4.5753962784118148E-2</v>
      </c>
      <c r="J61" s="18">
        <v>5.6539904034499606E-2</v>
      </c>
    </row>
    <row r="62" spans="2:10" x14ac:dyDescent="0.3">
      <c r="B62" s="23" t="s">
        <v>53</v>
      </c>
      <c r="C62" s="28" t="s">
        <v>74</v>
      </c>
      <c r="D62" s="17">
        <v>8.6489438346169956E-2</v>
      </c>
      <c r="E62" s="18">
        <v>8.5105607332631242E-3</v>
      </c>
      <c r="F62" s="18">
        <v>2.1483976485188617E-2</v>
      </c>
      <c r="G62" s="18">
        <v>3.8781864154422613E-2</v>
      </c>
      <c r="H62" s="18">
        <v>5.6079751823656598E-2</v>
      </c>
      <c r="I62" s="18">
        <v>7.3377639492890598E-2</v>
      </c>
      <c r="J62" s="18">
        <v>9.0675527162124583E-2</v>
      </c>
    </row>
    <row r="63" spans="2:10" x14ac:dyDescent="0.3">
      <c r="B63" s="24"/>
      <c r="C63" s="28" t="s">
        <v>75</v>
      </c>
      <c r="D63" s="17">
        <v>2.6065595283210223E-2</v>
      </c>
      <c r="E63" s="18">
        <v>2.564854575867886E-3</v>
      </c>
      <c r="F63" s="18">
        <v>6.4746938683494194E-3</v>
      </c>
      <c r="G63" s="18">
        <v>1.1687812924991464E-2</v>
      </c>
      <c r="H63" s="18">
        <v>1.6900931981633508E-2</v>
      </c>
      <c r="I63" s="18">
        <v>2.2114051038275555E-2</v>
      </c>
      <c r="J63" s="18">
        <v>2.7327170094917599E-2</v>
      </c>
    </row>
    <row r="64" spans="2:10" x14ac:dyDescent="0.3">
      <c r="B64" s="24"/>
      <c r="C64" s="28" t="s">
        <v>76</v>
      </c>
      <c r="D64" s="17">
        <v>8.6810322472545831E-2</v>
      </c>
      <c r="E64" s="18">
        <v>8.5421357312985106E-3</v>
      </c>
      <c r="F64" s="18">
        <v>2.1563684102180385E-2</v>
      </c>
      <c r="G64" s="18">
        <v>3.8925748596689555E-2</v>
      </c>
      <c r="H64" s="18">
        <v>5.6287813091198714E-2</v>
      </c>
      <c r="I64" s="18">
        <v>7.3649877585707887E-2</v>
      </c>
      <c r="J64" s="18">
        <v>9.1011942080217054E-2</v>
      </c>
    </row>
    <row r="65" spans="2:10" x14ac:dyDescent="0.3">
      <c r="B65" s="23" t="s">
        <v>55</v>
      </c>
      <c r="C65" s="28" t="s">
        <v>74</v>
      </c>
      <c r="D65" s="17">
        <v>0.17564795000140587</v>
      </c>
      <c r="E65" s="18">
        <v>1.7283758280138339E-2</v>
      </c>
      <c r="F65" s="18">
        <v>4.3630950780349217E-2</v>
      </c>
      <c r="G65" s="18">
        <v>7.8760540780630398E-2</v>
      </c>
      <c r="H65" s="18">
        <v>0.11389013078091156</v>
      </c>
      <c r="I65" s="18">
        <v>0.14901972078119274</v>
      </c>
      <c r="J65" s="18">
        <v>0.18414931078147392</v>
      </c>
    </row>
    <row r="66" spans="2:10" x14ac:dyDescent="0.3">
      <c r="B66" s="24"/>
      <c r="C66" s="28" t="s">
        <v>75</v>
      </c>
      <c r="D66" s="17">
        <v>8.5110071565048795E-2</v>
      </c>
      <c r="E66" s="18">
        <v>8.3748310420008014E-3</v>
      </c>
      <c r="F66" s="18">
        <v>2.1141341776758121E-2</v>
      </c>
      <c r="G66" s="18">
        <v>3.8163356089767883E-2</v>
      </c>
      <c r="H66" s="18">
        <v>5.5185370402777635E-2</v>
      </c>
      <c r="I66" s="18">
        <v>7.2207384715787401E-2</v>
      </c>
      <c r="J66" s="18">
        <v>8.922939902879716E-2</v>
      </c>
    </row>
    <row r="67" spans="2:10" x14ac:dyDescent="0.3">
      <c r="B67" s="24"/>
      <c r="C67" s="28" t="s">
        <v>76</v>
      </c>
      <c r="D67" s="17">
        <v>0.17603606800384128</v>
      </c>
      <c r="E67" s="18">
        <v>1.7321949091577981E-2</v>
      </c>
      <c r="F67" s="18">
        <v>4.3727359292154176E-2</v>
      </c>
      <c r="G67" s="18">
        <v>7.8934572892922439E-2</v>
      </c>
      <c r="H67" s="18">
        <v>0.11414178649369068</v>
      </c>
      <c r="I67" s="18">
        <v>0.14934900009445895</v>
      </c>
      <c r="J67" s="18">
        <v>0.18455621369522721</v>
      </c>
    </row>
    <row r="68" spans="2:10" x14ac:dyDescent="0.3">
      <c r="B68" s="23" t="s">
        <v>58</v>
      </c>
      <c r="C68" s="28" t="s">
        <v>74</v>
      </c>
      <c r="D68" s="17">
        <v>0.48746176095515503</v>
      </c>
      <c r="E68" s="18">
        <v>4.7966237277987253E-2</v>
      </c>
      <c r="F68" s="18">
        <v>0.12108550142126051</v>
      </c>
      <c r="G68" s="18">
        <v>0.21857785361229154</v>
      </c>
      <c r="H68" s="18">
        <v>0.31607020580332251</v>
      </c>
      <c r="I68" s="18">
        <v>0.41356255799435354</v>
      </c>
      <c r="J68" s="18">
        <v>0.51105491018538451</v>
      </c>
    </row>
    <row r="69" spans="2:10" x14ac:dyDescent="0.3">
      <c r="B69" s="24"/>
      <c r="C69" s="28" t="s">
        <v>75</v>
      </c>
      <c r="D69" s="17">
        <v>0.48074266259042359</v>
      </c>
      <c r="E69" s="18">
        <v>4.7305077998897681E-2</v>
      </c>
      <c r="F69" s="18">
        <v>0.11941647738746122</v>
      </c>
      <c r="G69" s="18">
        <v>0.21556500990554595</v>
      </c>
      <c r="H69" s="18">
        <v>0.31171354242363064</v>
      </c>
      <c r="I69" s="18">
        <v>0.40786207494171539</v>
      </c>
      <c r="J69" s="18">
        <v>0.50401060745980009</v>
      </c>
    </row>
    <row r="70" spans="2:10" x14ac:dyDescent="0.3">
      <c r="B70" s="24"/>
      <c r="C70" s="28" t="s">
        <v>76</v>
      </c>
      <c r="D70" s="17">
        <v>0.48748365577474045</v>
      </c>
      <c r="E70" s="18">
        <v>4.7968391728234458E-2</v>
      </c>
      <c r="F70" s="18">
        <v>0.12109094009444553</v>
      </c>
      <c r="G70" s="18">
        <v>0.21858767124939363</v>
      </c>
      <c r="H70" s="18">
        <v>0.31608440240434171</v>
      </c>
      <c r="I70" s="18">
        <v>0.41358113355928983</v>
      </c>
      <c r="J70" s="18">
        <v>0.51107786471423788</v>
      </c>
    </row>
    <row r="71" spans="2:10" x14ac:dyDescent="0.3">
      <c r="B71" s="23" t="s">
        <v>60</v>
      </c>
      <c r="C71" s="28" t="s">
        <v>74</v>
      </c>
      <c r="D71" s="17">
        <v>1</v>
      </c>
      <c r="E71" s="18">
        <v>9.8400000000000001E-2</v>
      </c>
      <c r="F71" s="18">
        <v>0.24840000000000001</v>
      </c>
      <c r="G71" s="18">
        <v>0.44840000000000002</v>
      </c>
      <c r="H71" s="18">
        <v>0.64839999999999998</v>
      </c>
      <c r="I71" s="18">
        <v>0.84840000000000004</v>
      </c>
      <c r="J71" s="18">
        <v>1.0484</v>
      </c>
    </row>
    <row r="72" spans="2:10" x14ac:dyDescent="0.3">
      <c r="B72" s="24"/>
      <c r="C72" s="28" t="s">
        <v>75</v>
      </c>
      <c r="D72" s="17">
        <v>1</v>
      </c>
      <c r="E72" s="18">
        <v>9.8400000000000001E-2</v>
      </c>
      <c r="F72" s="18">
        <v>0.24840000000000001</v>
      </c>
      <c r="G72" s="18">
        <v>0.44840000000000002</v>
      </c>
      <c r="H72" s="18">
        <v>0.64839999999999998</v>
      </c>
      <c r="I72" s="18">
        <v>0.84840000000000004</v>
      </c>
      <c r="J72" s="18">
        <v>1.0484</v>
      </c>
    </row>
    <row r="73" spans="2:10" x14ac:dyDescent="0.3">
      <c r="B73" s="25"/>
      <c r="C73" s="28" t="s">
        <v>76</v>
      </c>
      <c r="D73" s="17">
        <v>1</v>
      </c>
      <c r="E73" s="18">
        <v>9.8400000000000001E-2</v>
      </c>
      <c r="F73" s="18">
        <v>0.24840000000000001</v>
      </c>
      <c r="G73" s="18">
        <v>0.44840000000000002</v>
      </c>
      <c r="H73" s="18">
        <v>0.64839999999999998</v>
      </c>
      <c r="I73" s="18">
        <v>0.84840000000000004</v>
      </c>
      <c r="J73" s="18">
        <v>1.0484</v>
      </c>
    </row>
    <row r="75" spans="2:10" x14ac:dyDescent="0.3">
      <c r="B75" s="26" t="s">
        <v>78</v>
      </c>
    </row>
    <row r="76" spans="2:10" x14ac:dyDescent="0.3">
      <c r="B76" s="1"/>
      <c r="C76" s="32"/>
      <c r="E76" s="117" t="s">
        <v>0</v>
      </c>
      <c r="F76" s="117"/>
      <c r="G76" s="117"/>
      <c r="H76" s="117"/>
      <c r="I76" s="117"/>
      <c r="J76" s="117"/>
    </row>
    <row r="77" spans="2:10" ht="14.4" hidden="1" customHeight="1" x14ac:dyDescent="0.3">
      <c r="B77" s="1"/>
      <c r="C77" s="32"/>
      <c r="E77" s="79">
        <v>9.8400000000000001E-2</v>
      </c>
      <c r="F77" s="79">
        <v>0.24840000000000001</v>
      </c>
      <c r="G77" s="79">
        <v>0.44840000000000002</v>
      </c>
      <c r="H77" s="79">
        <v>0.64839999999999998</v>
      </c>
      <c r="I77" s="79">
        <v>0.84840000000000004</v>
      </c>
      <c r="J77" s="79">
        <v>1.0484</v>
      </c>
    </row>
    <row r="78" spans="2:10" ht="14.4" customHeight="1" x14ac:dyDescent="0.3">
      <c r="B78" s="1"/>
      <c r="C78" s="32"/>
      <c r="E78" s="3" t="s">
        <v>3</v>
      </c>
      <c r="F78" s="3" t="s">
        <v>4</v>
      </c>
      <c r="G78" s="3" t="s">
        <v>5</v>
      </c>
      <c r="H78" s="3" t="s">
        <v>6</v>
      </c>
      <c r="I78" s="3" t="s">
        <v>7</v>
      </c>
      <c r="J78" s="3" t="s">
        <v>8</v>
      </c>
    </row>
    <row r="79" spans="2:10" x14ac:dyDescent="0.3">
      <c r="B79" s="21" t="s">
        <v>1</v>
      </c>
      <c r="C79" s="22" t="s">
        <v>73</v>
      </c>
      <c r="D79" s="5" t="s">
        <v>2</v>
      </c>
      <c r="E79" s="3" t="s">
        <v>91</v>
      </c>
      <c r="F79" s="3" t="s">
        <v>91</v>
      </c>
      <c r="G79" s="3" t="s">
        <v>91</v>
      </c>
      <c r="H79" s="3" t="s">
        <v>91</v>
      </c>
      <c r="I79" s="3" t="s">
        <v>91</v>
      </c>
      <c r="J79" s="3" t="s">
        <v>91</v>
      </c>
    </row>
    <row r="80" spans="2:10" x14ac:dyDescent="0.3">
      <c r="B80" s="23" t="s">
        <v>13</v>
      </c>
      <c r="C80" s="28" t="s">
        <v>74</v>
      </c>
      <c r="D80" s="80">
        <v>2.0280648685210524E-3</v>
      </c>
      <c r="E80" s="18">
        <v>1.9956158306247155E-4</v>
      </c>
      <c r="F80" s="18">
        <v>5.0377131334062946E-4</v>
      </c>
      <c r="G80" s="18">
        <v>9.0938428704483989E-4</v>
      </c>
      <c r="H80" s="18">
        <v>1.3149972607490502E-3</v>
      </c>
      <c r="I80" s="18">
        <v>1.7206102344532609E-3</v>
      </c>
      <c r="J80" s="18">
        <v>2.1262232081574713E-3</v>
      </c>
    </row>
    <row r="81" spans="2:10" x14ac:dyDescent="0.3">
      <c r="B81" s="24"/>
      <c r="C81" s="28" t="s">
        <v>75</v>
      </c>
      <c r="D81" s="81">
        <v>4.7119048421706586E-5</v>
      </c>
      <c r="E81" s="18">
        <v>4.6365143646959278E-6</v>
      </c>
      <c r="F81" s="18">
        <v>1.1704371627951916E-5</v>
      </c>
      <c r="G81" s="18">
        <v>2.1128181312293235E-5</v>
      </c>
      <c r="H81" s="18">
        <v>3.0551990996634552E-5</v>
      </c>
      <c r="I81" s="18">
        <v>3.9975800680975869E-5</v>
      </c>
      <c r="J81" s="18">
        <v>4.9399610365317187E-5</v>
      </c>
    </row>
    <row r="82" spans="2:10" x14ac:dyDescent="0.3">
      <c r="B82" s="24"/>
      <c r="C82" s="28" t="s">
        <v>76</v>
      </c>
      <c r="D82" s="17">
        <v>2.029869186151792E-3</v>
      </c>
      <c r="E82" s="18">
        <v>1.9973912791733633E-4</v>
      </c>
      <c r="F82" s="18">
        <v>5.0421950584010513E-4</v>
      </c>
      <c r="G82" s="18">
        <v>9.1019334307046354E-4</v>
      </c>
      <c r="H82" s="18">
        <v>1.3161671803008218E-3</v>
      </c>
      <c r="I82" s="18">
        <v>1.7221410175311804E-3</v>
      </c>
      <c r="J82" s="18">
        <v>2.1281148547615389E-3</v>
      </c>
    </row>
    <row r="83" spans="2:10" x14ac:dyDescent="0.3">
      <c r="B83" s="23" t="s">
        <v>19</v>
      </c>
      <c r="C83" s="28" t="s">
        <v>74</v>
      </c>
      <c r="D83" s="29">
        <v>1.0643228674687271E-2</v>
      </c>
      <c r="E83" s="18">
        <v>1.0472937015892274E-3</v>
      </c>
      <c r="F83" s="18">
        <v>2.6437780027923183E-3</v>
      </c>
      <c r="G83" s="18">
        <v>4.7724237377297727E-3</v>
      </c>
      <c r="H83" s="18">
        <v>6.9010694726672258E-3</v>
      </c>
      <c r="I83" s="18">
        <v>9.0297152076046806E-3</v>
      </c>
      <c r="J83" s="18">
        <v>1.1158360942542134E-2</v>
      </c>
    </row>
    <row r="84" spans="2:10" x14ac:dyDescent="0.3">
      <c r="B84" s="24"/>
      <c r="C84" s="16" t="s">
        <v>75</v>
      </c>
      <c r="D84" s="17">
        <v>6.8366679720928262E-4</v>
      </c>
      <c r="E84" s="18">
        <v>6.7272812845393414E-5</v>
      </c>
      <c r="F84" s="18">
        <v>1.6982283242678581E-4</v>
      </c>
      <c r="G84" s="18">
        <v>3.0655619186864232E-4</v>
      </c>
      <c r="H84" s="18">
        <v>4.4328955131049886E-4</v>
      </c>
      <c r="I84" s="18">
        <v>5.8002291075235539E-4</v>
      </c>
      <c r="J84" s="18">
        <v>7.1675627019421187E-4</v>
      </c>
    </row>
    <row r="85" spans="2:10" x14ac:dyDescent="0.3">
      <c r="B85" s="24"/>
      <c r="C85" s="28" t="s">
        <v>76</v>
      </c>
      <c r="D85" s="17">
        <v>1.0649212505547076E-2</v>
      </c>
      <c r="E85" s="18">
        <v>1.0478825105458324E-3</v>
      </c>
      <c r="F85" s="18">
        <v>2.6452643863778937E-3</v>
      </c>
      <c r="G85" s="18">
        <v>4.7751068874873097E-3</v>
      </c>
      <c r="H85" s="18">
        <v>6.9049493885967239E-3</v>
      </c>
      <c r="I85" s="18">
        <v>9.0347918897061407E-3</v>
      </c>
      <c r="J85" s="18">
        <v>1.1164634390815555E-2</v>
      </c>
    </row>
    <row r="86" spans="2:10" x14ac:dyDescent="0.3">
      <c r="B86" s="23" t="s">
        <v>24</v>
      </c>
      <c r="C86" s="28" t="s">
        <v>74</v>
      </c>
      <c r="D86" s="17">
        <v>1.0769408988961547E-2</v>
      </c>
      <c r="E86" s="18">
        <v>1.0597098445138163E-3</v>
      </c>
      <c r="F86" s="18">
        <v>2.6751211928580485E-3</v>
      </c>
      <c r="G86" s="18">
        <v>4.8290029906503584E-3</v>
      </c>
      <c r="H86" s="18">
        <v>6.982884788442667E-3</v>
      </c>
      <c r="I86" s="18">
        <v>9.1367665862349765E-3</v>
      </c>
      <c r="J86" s="18">
        <v>1.1290648384027286E-2</v>
      </c>
    </row>
    <row r="87" spans="2:10" x14ac:dyDescent="0.3">
      <c r="B87" s="24"/>
      <c r="C87" s="28" t="s">
        <v>75</v>
      </c>
      <c r="D87" s="17">
        <v>6.9686521224700964E-4</v>
      </c>
      <c r="E87" s="18">
        <v>6.8571536885105754E-5</v>
      </c>
      <c r="F87" s="18">
        <v>1.731013187221572E-4</v>
      </c>
      <c r="G87" s="18">
        <v>3.1247436117155916E-4</v>
      </c>
      <c r="H87" s="18">
        <v>4.5184740362096105E-4</v>
      </c>
      <c r="I87" s="18">
        <v>5.9122044607036299E-4</v>
      </c>
      <c r="J87" s="18">
        <v>7.3059348851976487E-4</v>
      </c>
    </row>
    <row r="88" spans="2:10" x14ac:dyDescent="0.3">
      <c r="B88" s="24"/>
      <c r="C88" s="28" t="s">
        <v>76</v>
      </c>
      <c r="D88" s="17">
        <v>1.0775440535792663E-2</v>
      </c>
      <c r="E88" s="18">
        <v>1.060303348721998E-3</v>
      </c>
      <c r="F88" s="18">
        <v>2.6766194290908977E-3</v>
      </c>
      <c r="G88" s="18">
        <v>4.8317075362494305E-3</v>
      </c>
      <c r="H88" s="18">
        <v>6.986795643407962E-3</v>
      </c>
      <c r="I88" s="18">
        <v>9.1418837505664961E-3</v>
      </c>
      <c r="J88" s="18">
        <v>1.1296971857725028E-2</v>
      </c>
    </row>
    <row r="89" spans="2:10" x14ac:dyDescent="0.3">
      <c r="B89" s="23" t="s">
        <v>30</v>
      </c>
      <c r="C89" s="28" t="s">
        <v>74</v>
      </c>
      <c r="D89" s="17">
        <v>1.9114673491330059E-2</v>
      </c>
      <c r="E89" s="18">
        <v>1.8808838715468777E-3</v>
      </c>
      <c r="F89" s="18">
        <v>4.7480848952463871E-3</v>
      </c>
      <c r="G89" s="18">
        <v>8.5710195935123981E-3</v>
      </c>
      <c r="H89" s="18">
        <v>1.2393954291778409E-2</v>
      </c>
      <c r="I89" s="18">
        <v>1.6216888990044424E-2</v>
      </c>
      <c r="J89" s="18">
        <v>2.0039823688310435E-2</v>
      </c>
    </row>
    <row r="90" spans="2:10" x14ac:dyDescent="0.3">
      <c r="B90" s="24"/>
      <c r="C90" s="28" t="s">
        <v>75</v>
      </c>
      <c r="D90" s="17">
        <v>1.7736498960406433E-3</v>
      </c>
      <c r="E90" s="18">
        <v>1.7452714977039932E-4</v>
      </c>
      <c r="F90" s="18">
        <v>4.4057463417649582E-4</v>
      </c>
      <c r="G90" s="18">
        <v>7.9530461338462449E-4</v>
      </c>
      <c r="H90" s="18">
        <v>1.1500345925927532E-3</v>
      </c>
      <c r="I90" s="18">
        <v>1.5047645718008818E-3</v>
      </c>
      <c r="J90" s="18">
        <v>1.8594945510090105E-3</v>
      </c>
    </row>
    <row r="91" spans="2:10" x14ac:dyDescent="0.3">
      <c r="B91" s="24"/>
      <c r="C91" s="28" t="s">
        <v>76</v>
      </c>
      <c r="D91" s="17">
        <v>1.9123423662424224E-2</v>
      </c>
      <c r="E91" s="18">
        <v>1.8817448883825436E-3</v>
      </c>
      <c r="F91" s="18">
        <v>4.7502584377461772E-3</v>
      </c>
      <c r="G91" s="18">
        <v>8.5749431702310218E-3</v>
      </c>
      <c r="H91" s="18">
        <v>1.2399627902715865E-2</v>
      </c>
      <c r="I91" s="18">
        <v>1.6224312635200713E-2</v>
      </c>
      <c r="J91" s="18">
        <v>2.0048997367685555E-2</v>
      </c>
    </row>
    <row r="92" spans="2:10" x14ac:dyDescent="0.3">
      <c r="B92" s="23" t="s">
        <v>46</v>
      </c>
      <c r="C92" s="28" t="s">
        <v>74</v>
      </c>
      <c r="D92" s="17">
        <v>3.4720856357344877E-2</v>
      </c>
      <c r="E92" s="18">
        <v>3.4165322655627358E-3</v>
      </c>
      <c r="F92" s="18">
        <v>8.6246607191644686E-3</v>
      </c>
      <c r="G92" s="18">
        <v>1.5568831990633443E-2</v>
      </c>
      <c r="H92" s="18">
        <v>2.2513003262102416E-2</v>
      </c>
      <c r="I92" s="18">
        <v>2.9457174533571395E-2</v>
      </c>
      <c r="J92" s="18">
        <v>3.6401345805040369E-2</v>
      </c>
    </row>
    <row r="93" spans="2:10" x14ac:dyDescent="0.3">
      <c r="B93" s="24"/>
      <c r="C93" s="28" t="s">
        <v>75</v>
      </c>
      <c r="D93" s="17">
        <v>4.7349541433661484E-3</v>
      </c>
      <c r="E93" s="18">
        <v>4.6591948770722901E-4</v>
      </c>
      <c r="F93" s="18">
        <v>1.1761626092121513E-3</v>
      </c>
      <c r="G93" s="18">
        <v>2.1231534378853812E-3</v>
      </c>
      <c r="H93" s="18">
        <v>3.0701442665586106E-3</v>
      </c>
      <c r="I93" s="18">
        <v>4.0171350952318404E-3</v>
      </c>
      <c r="J93" s="18">
        <v>4.9641259239050703E-3</v>
      </c>
    </row>
    <row r="94" spans="2:10" x14ac:dyDescent="0.3">
      <c r="B94" s="24"/>
      <c r="C94" s="28" t="s">
        <v>76</v>
      </c>
      <c r="D94" s="17">
        <v>3.4733243868363038E-2</v>
      </c>
      <c r="E94" s="18">
        <v>3.4177511966469228E-3</v>
      </c>
      <c r="F94" s="18">
        <v>8.6277377769013782E-3</v>
      </c>
      <c r="G94" s="18">
        <v>1.5574386550573987E-2</v>
      </c>
      <c r="H94" s="18">
        <v>2.2521035324246593E-2</v>
      </c>
      <c r="I94" s="18">
        <v>2.9467684097919201E-2</v>
      </c>
      <c r="J94" s="18">
        <v>3.6414332871591806E-2</v>
      </c>
    </row>
    <row r="95" spans="2:10" x14ac:dyDescent="0.3">
      <c r="B95" s="23" t="s">
        <v>50</v>
      </c>
      <c r="C95" s="28" t="s">
        <v>74</v>
      </c>
      <c r="D95" s="17">
        <v>6.3590860047227277E-2</v>
      </c>
      <c r="E95" s="18">
        <v>6.257340628647164E-3</v>
      </c>
      <c r="F95" s="18">
        <v>1.5795969635731256E-2</v>
      </c>
      <c r="G95" s="18">
        <v>2.851414164517671E-2</v>
      </c>
      <c r="H95" s="18">
        <v>4.1232313654622162E-2</v>
      </c>
      <c r="I95" s="18">
        <v>5.3950485664067627E-2</v>
      </c>
      <c r="J95" s="18">
        <v>6.6668657673513071E-2</v>
      </c>
    </row>
    <row r="96" spans="2:10" x14ac:dyDescent="0.3">
      <c r="B96" s="24"/>
      <c r="C96" s="28" t="s">
        <v>75</v>
      </c>
      <c r="D96" s="17">
        <v>1.3040464222467274E-2</v>
      </c>
      <c r="E96" s="18">
        <v>1.2831816794907798E-3</v>
      </c>
      <c r="F96" s="18">
        <v>3.2392513128608707E-3</v>
      </c>
      <c r="G96" s="18">
        <v>5.8473441573543257E-3</v>
      </c>
      <c r="H96" s="18">
        <v>8.4554370018477803E-3</v>
      </c>
      <c r="I96" s="18">
        <v>1.1063529846341236E-2</v>
      </c>
      <c r="J96" s="18">
        <v>1.3671622690834689E-2</v>
      </c>
    </row>
    <row r="97" spans="2:10" x14ac:dyDescent="0.3">
      <c r="B97" s="24"/>
      <c r="C97" s="28" t="s">
        <v>76</v>
      </c>
      <c r="D97" s="17">
        <v>6.3607395071598044E-2</v>
      </c>
      <c r="E97" s="18">
        <v>6.2589676750452478E-3</v>
      </c>
      <c r="F97" s="18">
        <v>1.5800076935784956E-2</v>
      </c>
      <c r="G97" s="18">
        <v>2.8521555950104565E-2</v>
      </c>
      <c r="H97" s="18">
        <v>4.124303496442417E-2</v>
      </c>
      <c r="I97" s="18">
        <v>5.3964513978743786E-2</v>
      </c>
      <c r="J97" s="18">
        <v>6.6685992993063395E-2</v>
      </c>
    </row>
    <row r="98" spans="2:10" x14ac:dyDescent="0.3">
      <c r="B98" s="23" t="s">
        <v>53</v>
      </c>
      <c r="C98" s="28" t="s">
        <v>74</v>
      </c>
      <c r="D98" s="17">
        <v>9.8949236230532048E-2</v>
      </c>
      <c r="E98" s="18">
        <v>9.7366048450843543E-3</v>
      </c>
      <c r="F98" s="18">
        <v>2.4578990279664162E-2</v>
      </c>
      <c r="G98" s="18">
        <v>4.4368837525770574E-2</v>
      </c>
      <c r="H98" s="18">
        <v>6.4158684771876973E-2</v>
      </c>
      <c r="I98" s="18">
        <v>8.3948532017983399E-2</v>
      </c>
      <c r="J98" s="18">
        <v>0.1037383792640898</v>
      </c>
    </row>
    <row r="99" spans="2:10" x14ac:dyDescent="0.3">
      <c r="B99" s="24"/>
      <c r="C99" s="28" t="s">
        <v>75</v>
      </c>
      <c r="D99" s="17">
        <v>2.7818044315659696E-2</v>
      </c>
      <c r="E99" s="18">
        <v>2.7372955606609142E-3</v>
      </c>
      <c r="F99" s="18">
        <v>6.910002208009869E-3</v>
      </c>
      <c r="G99" s="18">
        <v>1.2473611071141808E-2</v>
      </c>
      <c r="H99" s="18">
        <v>1.8037219934273745E-2</v>
      </c>
      <c r="I99" s="18">
        <v>2.3600828797405687E-2</v>
      </c>
      <c r="J99" s="18">
        <v>2.9164437660537626E-2</v>
      </c>
    </row>
    <row r="100" spans="2:10" x14ac:dyDescent="0.3">
      <c r="B100" s="24"/>
      <c r="C100" s="28" t="s">
        <v>76</v>
      </c>
      <c r="D100" s="17">
        <v>9.8968368385597555E-2</v>
      </c>
      <c r="E100" s="18">
        <v>9.7384874491427999E-3</v>
      </c>
      <c r="F100" s="18">
        <v>2.4583742706982433E-2</v>
      </c>
      <c r="G100" s="18">
        <v>4.4377416384101948E-2</v>
      </c>
      <c r="H100" s="18">
        <v>6.4171090061221459E-2</v>
      </c>
      <c r="I100" s="18">
        <v>8.396476373834097E-2</v>
      </c>
      <c r="J100" s="18">
        <v>0.10375843741546048</v>
      </c>
    </row>
    <row r="101" spans="2:10" x14ac:dyDescent="0.3">
      <c r="B101" s="23" t="s">
        <v>55</v>
      </c>
      <c r="C101" s="28" t="s">
        <v>74</v>
      </c>
      <c r="D101" s="17">
        <v>0.19025755252281307</v>
      </c>
      <c r="E101" s="18">
        <v>1.8721343168244805E-2</v>
      </c>
      <c r="F101" s="18">
        <v>4.725997604666677E-2</v>
      </c>
      <c r="G101" s="18">
        <v>8.5311486551229387E-2</v>
      </c>
      <c r="H101" s="18">
        <v>0.12336299705579198</v>
      </c>
      <c r="I101" s="18">
        <v>0.16141450756035461</v>
      </c>
      <c r="J101" s="18">
        <v>0.19946601806491721</v>
      </c>
    </row>
    <row r="102" spans="2:10" x14ac:dyDescent="0.3">
      <c r="B102" s="24"/>
      <c r="C102" s="28" t="s">
        <v>75</v>
      </c>
      <c r="D102" s="17">
        <v>8.8612317739936788E-2</v>
      </c>
      <c r="E102" s="18">
        <v>8.7194520656097806E-3</v>
      </c>
      <c r="F102" s="18">
        <v>2.2011299726600299E-2</v>
      </c>
      <c r="G102" s="18">
        <v>3.9733763274587656E-2</v>
      </c>
      <c r="H102" s="18">
        <v>5.7456226822575014E-2</v>
      </c>
      <c r="I102" s="18">
        <v>7.5178690370562379E-2</v>
      </c>
      <c r="J102" s="18">
        <v>9.2901153918549723E-2</v>
      </c>
    </row>
    <row r="103" spans="2:10" x14ac:dyDescent="0.3">
      <c r="B103" s="24"/>
      <c r="C103" s="28" t="s">
        <v>76</v>
      </c>
      <c r="D103" s="17">
        <v>0.19027716225747471</v>
      </c>
      <c r="E103" s="18">
        <v>1.8723272766135512E-2</v>
      </c>
      <c r="F103" s="18">
        <v>4.7264847104756716E-2</v>
      </c>
      <c r="G103" s="18">
        <v>8.5320279556251669E-2</v>
      </c>
      <c r="H103" s="18">
        <v>0.12337571200774659</v>
      </c>
      <c r="I103" s="18">
        <v>0.16143114445924156</v>
      </c>
      <c r="J103" s="18">
        <v>0.19948657691073649</v>
      </c>
    </row>
    <row r="104" spans="2:10" x14ac:dyDescent="0.3">
      <c r="B104" s="23" t="s">
        <v>58</v>
      </c>
      <c r="C104" s="28" t="s">
        <v>74</v>
      </c>
      <c r="D104" s="17">
        <v>0.48825883973533507</v>
      </c>
      <c r="E104" s="18">
        <v>4.8044669829956969E-2</v>
      </c>
      <c r="F104" s="18">
        <v>0.12128349579025724</v>
      </c>
      <c r="G104" s="18">
        <v>0.21893526373732425</v>
      </c>
      <c r="H104" s="18">
        <v>0.31658703168439123</v>
      </c>
      <c r="I104" s="18">
        <v>0.41423879963145832</v>
      </c>
      <c r="J104" s="18">
        <v>0.51189056757852525</v>
      </c>
    </row>
    <row r="105" spans="2:10" x14ac:dyDescent="0.3">
      <c r="B105" s="24"/>
      <c r="C105" s="28" t="s">
        <v>75</v>
      </c>
      <c r="D105" s="17">
        <v>0.48110390199241304</v>
      </c>
      <c r="E105" s="18">
        <v>4.7340623956053443E-2</v>
      </c>
      <c r="F105" s="18">
        <v>0.11950620925491541</v>
      </c>
      <c r="G105" s="18">
        <v>0.21572698965339801</v>
      </c>
      <c r="H105" s="18">
        <v>0.31194777005188062</v>
      </c>
      <c r="I105" s="18">
        <v>0.40816855045036327</v>
      </c>
      <c r="J105" s="18">
        <v>0.50438933084884585</v>
      </c>
    </row>
    <row r="106" spans="2:10" x14ac:dyDescent="0.3">
      <c r="B106" s="24"/>
      <c r="C106" s="28" t="s">
        <v>76</v>
      </c>
      <c r="D106" s="17">
        <v>0.48825975990402032</v>
      </c>
      <c r="E106" s="18">
        <v>4.8044760374555601E-2</v>
      </c>
      <c r="F106" s="18">
        <v>0.12128372436015865</v>
      </c>
      <c r="G106" s="18">
        <v>0.21893567634096273</v>
      </c>
      <c r="H106" s="18">
        <v>0.31658762832176679</v>
      </c>
      <c r="I106" s="18">
        <v>0.41423958030257085</v>
      </c>
      <c r="J106" s="18">
        <v>0.51189153228337492</v>
      </c>
    </row>
    <row r="107" spans="2:10" x14ac:dyDescent="0.3">
      <c r="B107" s="23" t="s">
        <v>60</v>
      </c>
      <c r="C107" s="28" t="s">
        <v>74</v>
      </c>
      <c r="D107" s="17">
        <v>1</v>
      </c>
      <c r="E107" s="18">
        <v>9.8400000000000001E-2</v>
      </c>
      <c r="F107" s="18">
        <v>0.24840000000000001</v>
      </c>
      <c r="G107" s="18">
        <v>0.44840000000000002</v>
      </c>
      <c r="H107" s="18">
        <v>0.64839999999999998</v>
      </c>
      <c r="I107" s="18">
        <v>0.84840000000000004</v>
      </c>
      <c r="J107" s="18">
        <v>1.0484</v>
      </c>
    </row>
    <row r="108" spans="2:10" x14ac:dyDescent="0.3">
      <c r="B108" s="24"/>
      <c r="C108" s="28" t="s">
        <v>75</v>
      </c>
      <c r="D108" s="17">
        <v>1</v>
      </c>
      <c r="E108" s="18">
        <v>9.8400000000000001E-2</v>
      </c>
      <c r="F108" s="18">
        <v>0.24840000000000001</v>
      </c>
      <c r="G108" s="18">
        <v>0.44840000000000002</v>
      </c>
      <c r="H108" s="18">
        <v>0.64839999999999998</v>
      </c>
      <c r="I108" s="18">
        <v>0.84840000000000004</v>
      </c>
      <c r="J108" s="18">
        <v>1.0484</v>
      </c>
    </row>
    <row r="109" spans="2:10" x14ac:dyDescent="0.3">
      <c r="B109" s="25"/>
      <c r="C109" s="28" t="s">
        <v>76</v>
      </c>
      <c r="D109" s="17">
        <v>1</v>
      </c>
      <c r="E109" s="18">
        <v>9.8400000000000001E-2</v>
      </c>
      <c r="F109" s="18">
        <v>0.24840000000000001</v>
      </c>
      <c r="G109" s="18">
        <v>0.44840000000000002</v>
      </c>
      <c r="H109" s="18">
        <v>0.64839999999999998</v>
      </c>
      <c r="I109" s="18">
        <v>0.84840000000000004</v>
      </c>
      <c r="J109" s="18">
        <v>1.0484</v>
      </c>
    </row>
  </sheetData>
  <mergeCells count="15">
    <mergeCell ref="E3:J3"/>
    <mergeCell ref="E40:J40"/>
    <mergeCell ref="E76:J76"/>
    <mergeCell ref="R7:R10"/>
    <mergeCell ref="S7:AE7"/>
    <mergeCell ref="S8:AC8"/>
    <mergeCell ref="S9:T9"/>
    <mergeCell ref="R15:R18"/>
    <mergeCell ref="S15:AE15"/>
    <mergeCell ref="U9:Z9"/>
    <mergeCell ref="AA9:AC9"/>
    <mergeCell ref="U17:Z17"/>
    <mergeCell ref="AA17:AC17"/>
    <mergeCell ref="S16:AC16"/>
    <mergeCell ref="S17:T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78F4-83D0-4746-89A2-634D53BB650D}">
  <dimension ref="B2:AE109"/>
  <sheetViews>
    <sheetView zoomScaleNormal="100" workbookViewId="0">
      <selection activeCell="R1" sqref="R1:AE1048576"/>
    </sheetView>
  </sheetViews>
  <sheetFormatPr defaultRowHeight="14.4" x14ac:dyDescent="0.3"/>
  <cols>
    <col min="2" max="2" width="11.6640625" bestFit="1" customWidth="1"/>
    <col min="3" max="3" width="11.6640625" style="30" customWidth="1"/>
    <col min="4" max="4" width="8.88671875" style="32" hidden="1" customWidth="1"/>
    <col min="5" max="9" width="8.88671875" style="30"/>
    <col min="10" max="10" width="10.109375" style="30" bestFit="1" customWidth="1"/>
    <col min="16" max="16" width="12.6640625" bestFit="1" customWidth="1"/>
    <col min="19" max="20" width="10.33203125" style="1" customWidth="1"/>
    <col min="21" max="21" width="10.5546875" style="1" customWidth="1"/>
    <col min="22" max="22" width="9.6640625" style="1" customWidth="1"/>
    <col min="23" max="29" width="8.88671875" style="1"/>
    <col min="30" max="30" width="10" style="1" customWidth="1"/>
    <col min="31" max="31" width="8.88671875" style="1"/>
  </cols>
  <sheetData>
    <row r="2" spans="2:31" x14ac:dyDescent="0.3">
      <c r="B2" s="26" t="s">
        <v>79</v>
      </c>
    </row>
    <row r="3" spans="2:31" x14ac:dyDescent="0.3">
      <c r="B3" s="1"/>
      <c r="C3" s="32"/>
      <c r="E3" s="117" t="s">
        <v>0</v>
      </c>
      <c r="F3" s="117"/>
      <c r="G3" s="117"/>
      <c r="H3" s="117"/>
      <c r="I3" s="117"/>
      <c r="J3" s="117"/>
    </row>
    <row r="4" spans="2:31" ht="14.4" hidden="1" customHeight="1" x14ac:dyDescent="0.3">
      <c r="B4" s="1"/>
      <c r="C4" s="32"/>
      <c r="E4" s="79">
        <v>9.8400000000000001E-2</v>
      </c>
      <c r="F4" s="79">
        <v>0.24840000000000001</v>
      </c>
      <c r="G4" s="79">
        <v>0.44840000000000002</v>
      </c>
      <c r="H4" s="79">
        <v>0.64839999999999998</v>
      </c>
      <c r="I4" s="79">
        <v>0.84840000000000004</v>
      </c>
      <c r="J4" s="79">
        <v>1.0484</v>
      </c>
    </row>
    <row r="5" spans="2:31" ht="14.4" customHeight="1" x14ac:dyDescent="0.3">
      <c r="B5" s="1"/>
      <c r="C5" s="32"/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</row>
    <row r="6" spans="2:31" ht="28.8" x14ac:dyDescent="0.3">
      <c r="B6" s="21" t="s">
        <v>1</v>
      </c>
      <c r="C6" s="22" t="s">
        <v>73</v>
      </c>
      <c r="D6" s="5" t="s">
        <v>2</v>
      </c>
      <c r="E6" s="3" t="s">
        <v>91</v>
      </c>
      <c r="F6" s="3" t="s">
        <v>91</v>
      </c>
      <c r="G6" s="3" t="s">
        <v>91</v>
      </c>
      <c r="H6" s="3" t="s">
        <v>91</v>
      </c>
      <c r="I6" s="3" t="s">
        <v>91</v>
      </c>
      <c r="J6" s="3" t="s">
        <v>91</v>
      </c>
      <c r="L6" s="5" t="s">
        <v>9</v>
      </c>
      <c r="M6" s="3" t="s">
        <v>10</v>
      </c>
      <c r="O6" s="3" t="s">
        <v>0</v>
      </c>
      <c r="P6" s="3" t="s">
        <v>11</v>
      </c>
      <c r="R6" s="6" t="s">
        <v>12</v>
      </c>
      <c r="S6" s="7"/>
    </row>
    <row r="7" spans="2:31" x14ac:dyDescent="0.3">
      <c r="B7" s="23" t="s">
        <v>13</v>
      </c>
      <c r="C7" s="28" t="s">
        <v>74</v>
      </c>
      <c r="D7" s="80">
        <v>1.4918100280473952E-3</v>
      </c>
      <c r="E7" s="18">
        <v>1.467941067598637E-4</v>
      </c>
      <c r="F7" s="18">
        <v>3.7056561096697298E-4</v>
      </c>
      <c r="G7" s="18">
        <v>6.6892761657645205E-4</v>
      </c>
      <c r="H7" s="18">
        <v>9.6728962218593101E-4</v>
      </c>
      <c r="I7" s="18">
        <v>1.2656516277954101E-3</v>
      </c>
      <c r="J7" s="18">
        <v>1.5640136334048893E-3</v>
      </c>
      <c r="L7" s="11" t="s">
        <v>14</v>
      </c>
      <c r="M7" s="12" t="s">
        <v>13</v>
      </c>
      <c r="O7" s="12" t="s">
        <v>15</v>
      </c>
      <c r="P7" s="12" t="s">
        <v>16</v>
      </c>
      <c r="R7" s="109" t="s">
        <v>17</v>
      </c>
      <c r="S7" s="112" t="s">
        <v>18</v>
      </c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</row>
    <row r="8" spans="2:31" x14ac:dyDescent="0.3">
      <c r="B8" s="24"/>
      <c r="C8" s="28" t="s">
        <v>75</v>
      </c>
      <c r="D8" s="81">
        <v>3.2853304362478938E-5</v>
      </c>
      <c r="E8" s="18">
        <v>3.2327651492679274E-6</v>
      </c>
      <c r="F8" s="18">
        <v>8.1607608036397683E-6</v>
      </c>
      <c r="G8" s="18">
        <v>1.4731421676135556E-5</v>
      </c>
      <c r="H8" s="18">
        <v>2.1302082548631342E-5</v>
      </c>
      <c r="I8" s="18">
        <v>2.7872743421127132E-5</v>
      </c>
      <c r="J8" s="18">
        <v>3.4443404293622921E-5</v>
      </c>
      <c r="L8" s="11" t="s">
        <v>20</v>
      </c>
      <c r="M8" s="12" t="s">
        <v>13</v>
      </c>
      <c r="O8" s="12" t="s">
        <v>21</v>
      </c>
      <c r="P8" s="12" t="s">
        <v>22</v>
      </c>
      <c r="R8" s="110"/>
      <c r="S8" s="113" t="s">
        <v>23</v>
      </c>
      <c r="T8" s="114"/>
      <c r="U8" s="114"/>
      <c r="V8" s="114"/>
      <c r="W8" s="114"/>
      <c r="X8" s="114"/>
      <c r="Y8" s="114"/>
      <c r="Z8" s="114"/>
      <c r="AA8" s="114"/>
      <c r="AB8" s="114"/>
      <c r="AC8" s="115"/>
      <c r="AD8" s="14"/>
      <c r="AE8" s="13"/>
    </row>
    <row r="9" spans="2:31" x14ac:dyDescent="0.3">
      <c r="B9" s="24"/>
      <c r="C9" s="28" t="s">
        <v>76</v>
      </c>
      <c r="D9" s="17">
        <v>1.4667456695684764E-3</v>
      </c>
      <c r="E9" s="18">
        <v>1.4432777388553807E-4</v>
      </c>
      <c r="F9" s="18">
        <v>3.6433962432080955E-4</v>
      </c>
      <c r="G9" s="18">
        <v>6.5768875823450483E-4</v>
      </c>
      <c r="H9" s="18">
        <v>9.5103789214820011E-4</v>
      </c>
      <c r="I9" s="18">
        <v>1.2443870260618955E-3</v>
      </c>
      <c r="J9" s="18">
        <v>1.5377361599755906E-3</v>
      </c>
      <c r="L9" s="11" t="s">
        <v>25</v>
      </c>
      <c r="M9" s="12" t="s">
        <v>13</v>
      </c>
      <c r="O9" s="12" t="s">
        <v>26</v>
      </c>
      <c r="P9" s="12" t="s">
        <v>27</v>
      </c>
      <c r="R9" s="110"/>
      <c r="S9" s="113" t="s">
        <v>10</v>
      </c>
      <c r="T9" s="115"/>
      <c r="U9" s="114" t="s">
        <v>28</v>
      </c>
      <c r="V9" s="114"/>
      <c r="W9" s="114"/>
      <c r="X9" s="114"/>
      <c r="Y9" s="114"/>
      <c r="Z9" s="115"/>
      <c r="AA9" s="113" t="s">
        <v>29</v>
      </c>
      <c r="AB9" s="114"/>
      <c r="AC9" s="115"/>
      <c r="AD9" s="13"/>
      <c r="AE9" s="13"/>
    </row>
    <row r="10" spans="2:31" s="30" customFormat="1" ht="28.8" x14ac:dyDescent="0.3">
      <c r="B10" s="27" t="s">
        <v>19</v>
      </c>
      <c r="C10" s="28" t="s">
        <v>74</v>
      </c>
      <c r="D10" s="29">
        <v>8.5154617561713029E-3</v>
      </c>
      <c r="E10" s="18">
        <v>8.3792143680725621E-4</v>
      </c>
      <c r="F10" s="18">
        <v>2.1152407002329519E-3</v>
      </c>
      <c r="G10" s="18">
        <v>3.8183330514672126E-3</v>
      </c>
      <c r="H10" s="18">
        <v>5.5214254027014728E-3</v>
      </c>
      <c r="I10" s="18">
        <v>7.2245177539357339E-3</v>
      </c>
      <c r="J10" s="18">
        <v>8.9276101051699933E-3</v>
      </c>
      <c r="L10" s="11" t="s">
        <v>31</v>
      </c>
      <c r="M10" s="12" t="s">
        <v>13</v>
      </c>
      <c r="O10" s="12" t="s">
        <v>32</v>
      </c>
      <c r="P10" s="12" t="s">
        <v>33</v>
      </c>
      <c r="R10" s="111"/>
      <c r="S10" s="19" t="s">
        <v>34</v>
      </c>
      <c r="T10" s="19" t="s">
        <v>0</v>
      </c>
      <c r="U10" s="19" t="s">
        <v>35</v>
      </c>
      <c r="V10" s="19" t="s">
        <v>36</v>
      </c>
      <c r="W10" s="19" t="s">
        <v>37</v>
      </c>
      <c r="X10" s="19" t="s">
        <v>38</v>
      </c>
      <c r="Y10" s="19" t="s">
        <v>39</v>
      </c>
      <c r="Z10" s="19" t="s">
        <v>40</v>
      </c>
      <c r="AA10" s="19" t="s">
        <v>41</v>
      </c>
      <c r="AB10" s="19" t="s">
        <v>42</v>
      </c>
      <c r="AC10" s="19" t="s">
        <v>43</v>
      </c>
      <c r="AD10" s="19" t="s">
        <v>44</v>
      </c>
      <c r="AE10" s="19" t="s">
        <v>45</v>
      </c>
    </row>
    <row r="11" spans="2:31" x14ac:dyDescent="0.3">
      <c r="B11" s="24"/>
      <c r="C11" s="16" t="s">
        <v>75</v>
      </c>
      <c r="D11" s="17">
        <v>5.2550109120985027E-4</v>
      </c>
      <c r="E11" s="18">
        <v>5.1709307375049264E-5</v>
      </c>
      <c r="F11" s="18">
        <v>1.3053447105652681E-4</v>
      </c>
      <c r="G11" s="18">
        <v>2.3563468929849686E-4</v>
      </c>
      <c r="H11" s="18">
        <v>3.4073490754046691E-4</v>
      </c>
      <c r="I11" s="18">
        <v>4.4583512578243699E-4</v>
      </c>
      <c r="J11" s="18">
        <v>5.5093534402440706E-4</v>
      </c>
      <c r="L11" s="11" t="s">
        <v>47</v>
      </c>
      <c r="M11" s="12" t="s">
        <v>13</v>
      </c>
      <c r="O11" s="12" t="s">
        <v>48</v>
      </c>
      <c r="P11" s="12" t="s">
        <v>49</v>
      </c>
      <c r="R11" s="15"/>
      <c r="S11" s="13"/>
      <c r="T11" s="13"/>
      <c r="U11" s="13" t="s">
        <v>103</v>
      </c>
      <c r="V11" s="13"/>
      <c r="W11" s="13"/>
      <c r="X11" s="13"/>
      <c r="Y11" s="13"/>
      <c r="Z11" s="13">
        <f>SUM(V11:Y11)</f>
        <v>0</v>
      </c>
      <c r="AA11" s="13"/>
      <c r="AB11" s="13"/>
      <c r="AC11" s="13">
        <f>SUM(AA11:AB11)</f>
        <v>0</v>
      </c>
      <c r="AD11" s="13">
        <f>SUM(Z11,AC11)</f>
        <v>0</v>
      </c>
      <c r="AE11" s="13">
        <f>AD11-SUM(V11:W11)</f>
        <v>0</v>
      </c>
    </row>
    <row r="12" spans="2:31" x14ac:dyDescent="0.3">
      <c r="B12" s="24"/>
      <c r="C12" s="28" t="s">
        <v>76</v>
      </c>
      <c r="D12" s="17">
        <v>8.4112923208960275E-3</v>
      </c>
      <c r="E12" s="18">
        <v>8.2767116437616913E-4</v>
      </c>
      <c r="F12" s="18">
        <v>2.0893650125105735E-3</v>
      </c>
      <c r="G12" s="18">
        <v>3.7716234766897788E-3</v>
      </c>
      <c r="H12" s="18">
        <v>5.4538819408689841E-3</v>
      </c>
      <c r="I12" s="18">
        <v>7.1361404050481903E-3</v>
      </c>
      <c r="J12" s="18">
        <v>8.8183988692273948E-3</v>
      </c>
      <c r="L12" s="11" t="s">
        <v>51</v>
      </c>
      <c r="M12" s="12" t="s">
        <v>13</v>
      </c>
      <c r="O12" s="12" t="s">
        <v>52</v>
      </c>
      <c r="P12" s="20">
        <v>1</v>
      </c>
    </row>
    <row r="13" spans="2:31" x14ac:dyDescent="0.3">
      <c r="B13" s="23" t="s">
        <v>24</v>
      </c>
      <c r="C13" s="28" t="s">
        <v>74</v>
      </c>
      <c r="D13" s="17">
        <v>8.6216779957668313E-3</v>
      </c>
      <c r="E13" s="18">
        <v>8.4837311478345621E-4</v>
      </c>
      <c r="F13" s="18">
        <v>2.1416248141484808E-3</v>
      </c>
      <c r="G13" s="18">
        <v>3.8659604133018475E-3</v>
      </c>
      <c r="H13" s="18">
        <v>5.5902960124552129E-3</v>
      </c>
      <c r="I13" s="18">
        <v>7.31463161160858E-3</v>
      </c>
      <c r="J13" s="18">
        <v>9.0389672107619463E-3</v>
      </c>
      <c r="L13" s="11" t="s">
        <v>54</v>
      </c>
      <c r="M13" s="12" t="s">
        <v>13</v>
      </c>
    </row>
    <row r="14" spans="2:31" x14ac:dyDescent="0.3">
      <c r="B14" s="24"/>
      <c r="C14" s="28" t="s">
        <v>75</v>
      </c>
      <c r="D14" s="17">
        <v>5.3601993824834533E-4</v>
      </c>
      <c r="E14" s="18">
        <v>5.274436192363718E-5</v>
      </c>
      <c r="F14" s="18">
        <v>1.3314735266088898E-4</v>
      </c>
      <c r="G14" s="18">
        <v>2.4035134031055806E-4</v>
      </c>
      <c r="H14" s="18">
        <v>3.4755532796022711E-4</v>
      </c>
      <c r="I14" s="18">
        <v>4.5475931560989618E-4</v>
      </c>
      <c r="J14" s="18">
        <v>5.6196330325956521E-4</v>
      </c>
      <c r="L14" s="11" t="s">
        <v>56</v>
      </c>
      <c r="M14" s="12" t="s">
        <v>19</v>
      </c>
      <c r="R14" s="6" t="s">
        <v>57</v>
      </c>
      <c r="S14" s="7"/>
    </row>
    <row r="15" spans="2:31" x14ac:dyDescent="0.3">
      <c r="B15" s="24"/>
      <c r="C15" s="28" t="s">
        <v>76</v>
      </c>
      <c r="D15" s="17">
        <v>8.5164955365985874E-3</v>
      </c>
      <c r="E15" s="18">
        <v>8.3802316080130101E-4</v>
      </c>
      <c r="F15" s="18">
        <v>2.115497491291089E-3</v>
      </c>
      <c r="G15" s="18">
        <v>3.8187965986108069E-3</v>
      </c>
      <c r="H15" s="18">
        <v>5.5220957059305235E-3</v>
      </c>
      <c r="I15" s="18">
        <v>7.2253948132502419E-3</v>
      </c>
      <c r="J15" s="18">
        <v>8.9286939205699585E-3</v>
      </c>
      <c r="L15" s="11" t="s">
        <v>59</v>
      </c>
      <c r="M15" s="12" t="s">
        <v>19</v>
      </c>
      <c r="R15" s="109" t="s">
        <v>17</v>
      </c>
      <c r="S15" s="112" t="s">
        <v>18</v>
      </c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</row>
    <row r="16" spans="2:31" x14ac:dyDescent="0.3">
      <c r="B16" s="23" t="s">
        <v>30</v>
      </c>
      <c r="C16" s="28" t="s">
        <v>74</v>
      </c>
      <c r="D16" s="17">
        <v>1.5770004986699809E-2</v>
      </c>
      <c r="E16" s="18">
        <v>1.5517684906912613E-3</v>
      </c>
      <c r="F16" s="18">
        <v>3.9172692386962331E-3</v>
      </c>
      <c r="G16" s="18">
        <v>7.0712702360361951E-3</v>
      </c>
      <c r="H16" s="18">
        <v>1.0225271233376156E-2</v>
      </c>
      <c r="I16" s="18">
        <v>1.3379272230716119E-2</v>
      </c>
      <c r="J16" s="18">
        <v>1.6533273228056079E-2</v>
      </c>
      <c r="L16" s="11" t="s">
        <v>61</v>
      </c>
      <c r="M16" s="12" t="s">
        <v>24</v>
      </c>
      <c r="R16" s="110"/>
      <c r="S16" s="113" t="s">
        <v>23</v>
      </c>
      <c r="T16" s="114"/>
      <c r="U16" s="114"/>
      <c r="V16" s="114"/>
      <c r="W16" s="114"/>
      <c r="X16" s="114"/>
      <c r="Y16" s="114"/>
      <c r="Z16" s="114"/>
      <c r="AA16" s="114"/>
      <c r="AB16" s="114"/>
      <c r="AC16" s="115"/>
      <c r="AD16" s="14"/>
      <c r="AE16" s="13"/>
    </row>
    <row r="17" spans="2:31" x14ac:dyDescent="0.3">
      <c r="B17" s="24"/>
      <c r="C17" s="28" t="s">
        <v>75</v>
      </c>
      <c r="D17" s="17">
        <v>1.4116689371090187E-3</v>
      </c>
      <c r="E17" s="18">
        <v>1.3890822341152743E-4</v>
      </c>
      <c r="F17" s="18">
        <v>3.5065856397788024E-4</v>
      </c>
      <c r="G17" s="18">
        <v>6.3299235139968396E-4</v>
      </c>
      <c r="H17" s="18">
        <v>9.1532613882148767E-4</v>
      </c>
      <c r="I17" s="18">
        <v>1.1976599262432915E-3</v>
      </c>
      <c r="J17" s="18">
        <v>1.4799937136650951E-3</v>
      </c>
      <c r="L17" s="11" t="s">
        <v>62</v>
      </c>
      <c r="M17" s="12" t="s">
        <v>24</v>
      </c>
      <c r="R17" s="110"/>
      <c r="S17" s="113" t="s">
        <v>10</v>
      </c>
      <c r="T17" s="115"/>
      <c r="U17" s="114" t="s">
        <v>28</v>
      </c>
      <c r="V17" s="114"/>
      <c r="W17" s="114"/>
      <c r="X17" s="114"/>
      <c r="Y17" s="114"/>
      <c r="Z17" s="115"/>
      <c r="AA17" s="113" t="s">
        <v>29</v>
      </c>
      <c r="AB17" s="114"/>
      <c r="AC17" s="115"/>
      <c r="AD17" s="13"/>
      <c r="AE17" s="13"/>
    </row>
    <row r="18" spans="2:31" s="30" customFormat="1" ht="28.8" x14ac:dyDescent="0.3">
      <c r="B18" s="31"/>
      <c r="C18" s="28" t="s">
        <v>76</v>
      </c>
      <c r="D18" s="17">
        <v>1.5603432425336647E-2</v>
      </c>
      <c r="E18" s="18">
        <v>1.5353777506531261E-3</v>
      </c>
      <c r="F18" s="18">
        <v>3.8758926144536231E-3</v>
      </c>
      <c r="G18" s="18">
        <v>6.9965790995209524E-3</v>
      </c>
      <c r="H18" s="18">
        <v>1.0117265584588281E-2</v>
      </c>
      <c r="I18" s="18">
        <v>1.3237952069655612E-2</v>
      </c>
      <c r="J18" s="18">
        <v>1.6358638554722939E-2</v>
      </c>
      <c r="L18" s="11" t="s">
        <v>63</v>
      </c>
      <c r="M18" s="12" t="s">
        <v>30</v>
      </c>
      <c r="R18" s="111"/>
      <c r="S18" s="19" t="s">
        <v>34</v>
      </c>
      <c r="T18" s="19" t="s">
        <v>0</v>
      </c>
      <c r="U18" s="19" t="s">
        <v>35</v>
      </c>
      <c r="V18" s="19" t="s">
        <v>36</v>
      </c>
      <c r="W18" s="19" t="s">
        <v>37</v>
      </c>
      <c r="X18" s="19" t="s">
        <v>38</v>
      </c>
      <c r="Y18" s="19" t="s">
        <v>39</v>
      </c>
      <c r="Z18" s="19" t="s">
        <v>40</v>
      </c>
      <c r="AA18" s="19" t="s">
        <v>41</v>
      </c>
      <c r="AB18" s="19" t="s">
        <v>42</v>
      </c>
      <c r="AC18" s="19" t="s">
        <v>43</v>
      </c>
      <c r="AD18" s="19" t="s">
        <v>44</v>
      </c>
      <c r="AE18" s="19" t="s">
        <v>45</v>
      </c>
    </row>
    <row r="19" spans="2:31" x14ac:dyDescent="0.3">
      <c r="B19" s="23" t="s">
        <v>46</v>
      </c>
      <c r="C19" s="28" t="s">
        <v>74</v>
      </c>
      <c r="D19" s="17">
        <v>2.9585629802807947E-2</v>
      </c>
      <c r="E19" s="18">
        <v>2.911225972596302E-3</v>
      </c>
      <c r="F19" s="18">
        <v>7.3490704430174943E-3</v>
      </c>
      <c r="G19" s="18">
        <v>1.3266196403579084E-2</v>
      </c>
      <c r="H19" s="18">
        <v>1.9183322364140672E-2</v>
      </c>
      <c r="I19" s="18">
        <v>2.5100448324702263E-2</v>
      </c>
      <c r="J19" s="18">
        <v>3.1017574285263853E-2</v>
      </c>
      <c r="L19" s="11" t="s">
        <v>64</v>
      </c>
      <c r="M19" s="12" t="s">
        <v>46</v>
      </c>
      <c r="R19" s="15"/>
      <c r="S19" s="13"/>
      <c r="T19" s="13"/>
      <c r="U19" s="13"/>
      <c r="V19" s="13"/>
      <c r="W19" s="13"/>
      <c r="X19" s="13"/>
      <c r="Y19" s="13"/>
      <c r="Z19" s="13">
        <f>SUM(V19:Y19)</f>
        <v>0</v>
      </c>
      <c r="AA19" s="13"/>
      <c r="AB19" s="13"/>
      <c r="AC19" s="13">
        <f>SUM(AA19:AB19)</f>
        <v>0</v>
      </c>
      <c r="AD19" s="13">
        <f>SUM(Z19,AC19)</f>
        <v>0</v>
      </c>
      <c r="AE19" s="13">
        <f>AD19-SUM(V19:W19)</f>
        <v>0</v>
      </c>
    </row>
    <row r="20" spans="2:31" x14ac:dyDescent="0.3">
      <c r="B20" s="24"/>
      <c r="C20" s="28" t="s">
        <v>75</v>
      </c>
      <c r="D20" s="17">
        <v>3.9074361377446241E-3</v>
      </c>
      <c r="E20" s="18">
        <v>3.8449171595407103E-4</v>
      </c>
      <c r="F20" s="18">
        <v>9.7060713661576467E-4</v>
      </c>
      <c r="G20" s="18">
        <v>1.7520943641646896E-3</v>
      </c>
      <c r="H20" s="18">
        <v>2.5335815917136143E-3</v>
      </c>
      <c r="I20" s="18">
        <v>3.3150688192625393E-3</v>
      </c>
      <c r="J20" s="18">
        <v>4.0965560468114639E-3</v>
      </c>
      <c r="L20" s="11" t="s">
        <v>65</v>
      </c>
      <c r="M20" s="12" t="s">
        <v>50</v>
      </c>
    </row>
    <row r="21" spans="2:31" x14ac:dyDescent="0.3">
      <c r="B21" s="24"/>
      <c r="C21" s="28" t="s">
        <v>76</v>
      </c>
      <c r="D21" s="17">
        <v>2.9325179671473016E-2</v>
      </c>
      <c r="E21" s="18">
        <v>2.8855976796729448E-3</v>
      </c>
      <c r="F21" s="18">
        <v>7.2843746303938974E-3</v>
      </c>
      <c r="G21" s="18">
        <v>1.3149410564688501E-2</v>
      </c>
      <c r="H21" s="18">
        <v>1.9014446498983102E-2</v>
      </c>
      <c r="I21" s="18">
        <v>2.4879482433277707E-2</v>
      </c>
      <c r="J21" s="18">
        <v>3.0744518367572311E-2</v>
      </c>
      <c r="L21" s="11" t="s">
        <v>66</v>
      </c>
      <c r="M21" s="12" t="s">
        <v>53</v>
      </c>
    </row>
    <row r="22" spans="2:31" x14ac:dyDescent="0.3">
      <c r="B22" s="23" t="s">
        <v>50</v>
      </c>
      <c r="C22" s="28" t="s">
        <v>74</v>
      </c>
      <c r="D22" s="17">
        <v>5.6072510628723184E-2</v>
      </c>
      <c r="E22" s="18">
        <v>5.5175350458663616E-3</v>
      </c>
      <c r="F22" s="18">
        <v>1.392841164017484E-2</v>
      </c>
      <c r="G22" s="18">
        <v>2.5142913765919477E-2</v>
      </c>
      <c r="H22" s="18">
        <v>3.6357415891664108E-2</v>
      </c>
      <c r="I22" s="18">
        <v>4.7571918017408753E-2</v>
      </c>
      <c r="J22" s="18">
        <v>5.8786420143153384E-2</v>
      </c>
      <c r="L22" s="11" t="s">
        <v>67</v>
      </c>
      <c r="M22" s="12" t="s">
        <v>55</v>
      </c>
    </row>
    <row r="23" spans="2:31" x14ac:dyDescent="0.3">
      <c r="B23" s="24"/>
      <c r="C23" s="28" t="s">
        <v>75</v>
      </c>
      <c r="D23" s="17">
        <v>1.1178619076459253E-2</v>
      </c>
      <c r="E23" s="18">
        <v>1.0999761171235905E-3</v>
      </c>
      <c r="F23" s="18">
        <v>2.7767689785924785E-3</v>
      </c>
      <c r="G23" s="18">
        <v>5.0124927938843293E-3</v>
      </c>
      <c r="H23" s="18">
        <v>7.2482166091761792E-3</v>
      </c>
      <c r="I23" s="18">
        <v>9.4839404244680299E-3</v>
      </c>
      <c r="J23" s="18">
        <v>1.1719664239759882E-2</v>
      </c>
      <c r="L23" s="11" t="s">
        <v>68</v>
      </c>
      <c r="M23" s="12" t="s">
        <v>58</v>
      </c>
    </row>
    <row r="24" spans="2:31" x14ac:dyDescent="0.3">
      <c r="B24" s="24"/>
      <c r="C24" s="28" t="s">
        <v>76</v>
      </c>
      <c r="D24" s="17">
        <v>5.5683655021158206E-2</v>
      </c>
      <c r="E24" s="18">
        <v>5.4792716540819674E-3</v>
      </c>
      <c r="F24" s="18">
        <v>1.3831819907255698E-2</v>
      </c>
      <c r="G24" s="18">
        <v>2.496855091148734E-2</v>
      </c>
      <c r="H24" s="18">
        <v>3.6105281915718976E-2</v>
      </c>
      <c r="I24" s="18">
        <v>4.7242012919950623E-2</v>
      </c>
      <c r="J24" s="18">
        <v>5.8378743924182262E-2</v>
      </c>
      <c r="L24" s="11" t="s">
        <v>69</v>
      </c>
      <c r="M24" s="12" t="s">
        <v>58</v>
      </c>
    </row>
    <row r="25" spans="2:31" x14ac:dyDescent="0.3">
      <c r="B25" s="23" t="s">
        <v>53</v>
      </c>
      <c r="C25" s="28" t="s">
        <v>74</v>
      </c>
      <c r="D25" s="17">
        <v>8.9569142459815593E-2</v>
      </c>
      <c r="E25" s="18">
        <v>8.8136036180458538E-3</v>
      </c>
      <c r="F25" s="18">
        <v>2.2248974987018194E-2</v>
      </c>
      <c r="G25" s="18">
        <v>4.0162803478981317E-2</v>
      </c>
      <c r="H25" s="18">
        <v>5.8076631970944426E-2</v>
      </c>
      <c r="I25" s="18">
        <v>7.5990460462907555E-2</v>
      </c>
      <c r="J25" s="18">
        <v>9.3904288954870671E-2</v>
      </c>
      <c r="L25" s="11" t="s">
        <v>70</v>
      </c>
      <c r="M25" s="12" t="s">
        <v>58</v>
      </c>
    </row>
    <row r="26" spans="2:31" x14ac:dyDescent="0.3">
      <c r="B26" s="24"/>
      <c r="C26" s="28" t="s">
        <v>75</v>
      </c>
      <c r="D26" s="17">
        <v>2.4557902002839284E-2</v>
      </c>
      <c r="E26" s="18">
        <v>2.4164975570793857E-3</v>
      </c>
      <c r="F26" s="18">
        <v>6.1001828575052786E-3</v>
      </c>
      <c r="G26" s="18">
        <v>1.1011763258073135E-2</v>
      </c>
      <c r="H26" s="18">
        <v>1.5923343658640992E-2</v>
      </c>
      <c r="I26" s="18">
        <v>2.0834924059208851E-2</v>
      </c>
      <c r="J26" s="18">
        <v>2.5746504459776706E-2</v>
      </c>
      <c r="L26" s="11" t="s">
        <v>71</v>
      </c>
      <c r="M26" s="12" t="s">
        <v>60</v>
      </c>
    </row>
    <row r="27" spans="2:31" x14ac:dyDescent="0.3">
      <c r="B27" s="24"/>
      <c r="C27" s="28" t="s">
        <v>76</v>
      </c>
      <c r="D27" s="17">
        <v>8.9076615391644631E-2</v>
      </c>
      <c r="E27" s="18">
        <v>8.7651389545378312E-3</v>
      </c>
      <c r="F27" s="18">
        <v>2.2126631263284527E-2</v>
      </c>
      <c r="G27" s="18">
        <v>3.9941954341613455E-2</v>
      </c>
      <c r="H27" s="18">
        <v>5.7757277419942375E-2</v>
      </c>
      <c r="I27" s="18">
        <v>7.5572600498271303E-2</v>
      </c>
      <c r="J27" s="18">
        <v>9.3387923576600237E-2</v>
      </c>
    </row>
    <row r="28" spans="2:31" x14ac:dyDescent="0.3">
      <c r="B28" s="23" t="s">
        <v>55</v>
      </c>
      <c r="C28" s="28" t="s">
        <v>74</v>
      </c>
      <c r="D28" s="17">
        <v>0.17939073058410368</v>
      </c>
      <c r="E28" s="18">
        <v>1.7652047889475803E-2</v>
      </c>
      <c r="F28" s="18">
        <v>4.4560657477091356E-2</v>
      </c>
      <c r="G28" s="18">
        <v>8.0438803593912089E-2</v>
      </c>
      <c r="H28" s="18">
        <v>0.11631694971073282</v>
      </c>
      <c r="I28" s="18">
        <v>0.15219509582755358</v>
      </c>
      <c r="J28" s="18">
        <v>0.1880732419443743</v>
      </c>
    </row>
    <row r="29" spans="2:31" x14ac:dyDescent="0.3">
      <c r="B29" s="24"/>
      <c r="C29" s="28" t="s">
        <v>75</v>
      </c>
      <c r="D29" s="17">
        <v>8.2070125939239819E-2</v>
      </c>
      <c r="E29" s="18">
        <v>8.0757003924211979E-3</v>
      </c>
      <c r="F29" s="18">
        <v>2.0386219283307173E-2</v>
      </c>
      <c r="G29" s="18">
        <v>3.6800244471155139E-2</v>
      </c>
      <c r="H29" s="18">
        <v>5.3214269659003097E-2</v>
      </c>
      <c r="I29" s="18">
        <v>6.9628294846851069E-2</v>
      </c>
      <c r="J29" s="18">
        <v>8.6042320034699027E-2</v>
      </c>
    </row>
    <row r="30" spans="2:31" x14ac:dyDescent="0.3">
      <c r="B30" s="24"/>
      <c r="C30" s="28" t="s">
        <v>76</v>
      </c>
      <c r="D30" s="17">
        <v>0.1788068390056092</v>
      </c>
      <c r="E30" s="18">
        <v>1.7594592958151946E-2</v>
      </c>
      <c r="F30" s="18">
        <v>4.4415618808993328E-2</v>
      </c>
      <c r="G30" s="18">
        <v>8.0176986610115172E-2</v>
      </c>
      <c r="H30" s="18">
        <v>0.115938354411237</v>
      </c>
      <c r="I30" s="18">
        <v>0.15169972221235886</v>
      </c>
      <c r="J30" s="18">
        <v>0.18746109001348069</v>
      </c>
    </row>
    <row r="31" spans="2:31" x14ac:dyDescent="0.3">
      <c r="B31" s="23" t="s">
        <v>58</v>
      </c>
      <c r="C31" s="28" t="s">
        <v>74</v>
      </c>
      <c r="D31" s="17">
        <v>0.48767371667320752</v>
      </c>
      <c r="E31" s="18">
        <v>4.7987093720643623E-2</v>
      </c>
      <c r="F31" s="18">
        <v>0.12113815122162476</v>
      </c>
      <c r="G31" s="18">
        <v>0.21867289455626626</v>
      </c>
      <c r="H31" s="18">
        <v>0.31620763789090772</v>
      </c>
      <c r="I31" s="18">
        <v>0.41374238122554929</v>
      </c>
      <c r="J31" s="18">
        <v>0.51127712456019081</v>
      </c>
    </row>
    <row r="32" spans="2:31" x14ac:dyDescent="0.3">
      <c r="B32" s="24"/>
      <c r="C32" s="28" t="s">
        <v>75</v>
      </c>
      <c r="D32" s="17">
        <v>0.48042554923296632</v>
      </c>
      <c r="E32" s="18">
        <v>4.7273874044523885E-2</v>
      </c>
      <c r="F32" s="18">
        <v>0.11933770642946884</v>
      </c>
      <c r="G32" s="18">
        <v>0.21542281627606211</v>
      </c>
      <c r="H32" s="18">
        <v>0.31150792612265538</v>
      </c>
      <c r="I32" s="18">
        <v>0.40759303596924867</v>
      </c>
      <c r="J32" s="18">
        <v>0.50367814581584192</v>
      </c>
    </row>
    <row r="33" spans="2:10" x14ac:dyDescent="0.3">
      <c r="B33" s="24"/>
      <c r="C33" s="28" t="s">
        <v>76</v>
      </c>
      <c r="D33" s="17">
        <v>0.48764151745825279</v>
      </c>
      <c r="E33" s="18">
        <v>4.7983925317892077E-2</v>
      </c>
      <c r="F33" s="18">
        <v>0.12113015293663</v>
      </c>
      <c r="G33" s="18">
        <v>0.21865845642828055</v>
      </c>
      <c r="H33" s="18">
        <v>0.31618675991993112</v>
      </c>
      <c r="I33" s="18">
        <v>0.41371506341158171</v>
      </c>
      <c r="J33" s="18">
        <v>0.51124336690323224</v>
      </c>
    </row>
    <row r="34" spans="2:10" x14ac:dyDescent="0.3">
      <c r="B34" s="23" t="s">
        <v>60</v>
      </c>
      <c r="C34" s="28" t="s">
        <v>74</v>
      </c>
      <c r="D34" s="17">
        <v>1</v>
      </c>
      <c r="E34" s="18">
        <v>9.8400000000000001E-2</v>
      </c>
      <c r="F34" s="18">
        <v>0.24840000000000001</v>
      </c>
      <c r="G34" s="18">
        <v>0.44840000000000002</v>
      </c>
      <c r="H34" s="18">
        <v>0.64839999999999998</v>
      </c>
      <c r="I34" s="18">
        <v>0.84840000000000004</v>
      </c>
      <c r="J34" s="18">
        <v>1.0484</v>
      </c>
    </row>
    <row r="35" spans="2:10" x14ac:dyDescent="0.3">
      <c r="B35" s="24"/>
      <c r="C35" s="28" t="s">
        <v>75</v>
      </c>
      <c r="D35" s="17">
        <v>1</v>
      </c>
      <c r="E35" s="18">
        <v>9.8400000000000001E-2</v>
      </c>
      <c r="F35" s="18">
        <v>0.24840000000000001</v>
      </c>
      <c r="G35" s="18">
        <v>0.44840000000000002</v>
      </c>
      <c r="H35" s="18">
        <v>0.64839999999999998</v>
      </c>
      <c r="I35" s="18">
        <v>0.84840000000000004</v>
      </c>
      <c r="J35" s="18">
        <v>1.0484</v>
      </c>
    </row>
    <row r="36" spans="2:10" x14ac:dyDescent="0.3">
      <c r="B36" s="25"/>
      <c r="C36" s="28" t="s">
        <v>76</v>
      </c>
      <c r="D36" s="17">
        <v>1</v>
      </c>
      <c r="E36" s="18">
        <v>9.8400000000000001E-2</v>
      </c>
      <c r="F36" s="18">
        <v>0.24840000000000001</v>
      </c>
      <c r="G36" s="18">
        <v>0.44840000000000002</v>
      </c>
      <c r="H36" s="18">
        <v>0.64839999999999998</v>
      </c>
      <c r="I36" s="18">
        <v>0.84840000000000004</v>
      </c>
      <c r="J36" s="18">
        <v>1.0484</v>
      </c>
    </row>
    <row r="39" spans="2:10" x14ac:dyDescent="0.3">
      <c r="B39" s="26" t="s">
        <v>80</v>
      </c>
    </row>
    <row r="40" spans="2:10" x14ac:dyDescent="0.3">
      <c r="B40" s="1"/>
      <c r="C40" s="32"/>
      <c r="E40" s="117" t="s">
        <v>0</v>
      </c>
      <c r="F40" s="117"/>
      <c r="G40" s="117"/>
      <c r="H40" s="117"/>
      <c r="I40" s="117"/>
      <c r="J40" s="117"/>
    </row>
    <row r="41" spans="2:10" ht="14.4" hidden="1" customHeight="1" x14ac:dyDescent="0.3">
      <c r="B41" s="1"/>
      <c r="C41" s="32"/>
      <c r="E41" s="79">
        <v>9.8400000000000001E-2</v>
      </c>
      <c r="F41" s="79">
        <v>0.24840000000000001</v>
      </c>
      <c r="G41" s="79">
        <v>0.44840000000000002</v>
      </c>
      <c r="H41" s="79">
        <v>0.64839999999999998</v>
      </c>
      <c r="I41" s="79">
        <v>0.84840000000000004</v>
      </c>
      <c r="J41" s="79">
        <v>1.0484</v>
      </c>
    </row>
    <row r="42" spans="2:10" ht="14.4" customHeight="1" x14ac:dyDescent="0.3">
      <c r="B42" s="1"/>
      <c r="C42" s="32"/>
      <c r="E42" s="3" t="s">
        <v>3</v>
      </c>
      <c r="F42" s="3" t="s">
        <v>4</v>
      </c>
      <c r="G42" s="3" t="s">
        <v>5</v>
      </c>
      <c r="H42" s="3" t="s">
        <v>6</v>
      </c>
      <c r="I42" s="3" t="s">
        <v>7</v>
      </c>
      <c r="J42" s="3" t="s">
        <v>8</v>
      </c>
    </row>
    <row r="43" spans="2:10" x14ac:dyDescent="0.3">
      <c r="B43" s="21" t="s">
        <v>1</v>
      </c>
      <c r="C43" s="22" t="s">
        <v>73</v>
      </c>
      <c r="D43" s="5" t="s">
        <v>2</v>
      </c>
      <c r="E43" s="3" t="s">
        <v>91</v>
      </c>
      <c r="F43" s="3" t="s">
        <v>91</v>
      </c>
      <c r="G43" s="3" t="s">
        <v>91</v>
      </c>
      <c r="H43" s="3" t="s">
        <v>91</v>
      </c>
      <c r="I43" s="3" t="s">
        <v>91</v>
      </c>
      <c r="J43" s="3" t="s">
        <v>91</v>
      </c>
    </row>
    <row r="44" spans="2:10" x14ac:dyDescent="0.3">
      <c r="B44" s="23" t="s">
        <v>13</v>
      </c>
      <c r="C44" s="28" t="s">
        <v>74</v>
      </c>
      <c r="D44" s="80">
        <v>1.048829204948059E-3</v>
      </c>
      <c r="E44" s="18">
        <v>1.0320479376688901E-4</v>
      </c>
      <c r="F44" s="18">
        <v>2.6052917450909789E-4</v>
      </c>
      <c r="G44" s="18">
        <v>4.7029501549870965E-4</v>
      </c>
      <c r="H44" s="18">
        <v>6.8006085648832147E-4</v>
      </c>
      <c r="I44" s="18">
        <v>8.8982669747793329E-4</v>
      </c>
      <c r="J44" s="18">
        <v>1.099592538467545E-3</v>
      </c>
    </row>
    <row r="45" spans="2:10" x14ac:dyDescent="0.3">
      <c r="B45" s="24"/>
      <c r="C45" s="28" t="s">
        <v>75</v>
      </c>
      <c r="D45" s="81">
        <v>3.1991831491687683E-5</v>
      </c>
      <c r="E45" s="18">
        <v>3.1479962187820679E-6</v>
      </c>
      <c r="F45" s="18">
        <v>7.9467709425352204E-6</v>
      </c>
      <c r="G45" s="18">
        <v>1.4345137240872757E-5</v>
      </c>
      <c r="H45" s="18">
        <v>2.0743503539210292E-5</v>
      </c>
      <c r="I45" s="18">
        <v>2.7141869837547832E-5</v>
      </c>
      <c r="J45" s="18">
        <v>3.3540236135885369E-5</v>
      </c>
    </row>
    <row r="46" spans="2:10" x14ac:dyDescent="0.3">
      <c r="B46" s="24"/>
      <c r="C46" s="28" t="s">
        <v>76</v>
      </c>
      <c r="D46" s="17">
        <v>8.414286537829326E-4</v>
      </c>
      <c r="E46" s="18">
        <v>8.2796579532240568E-5</v>
      </c>
      <c r="F46" s="18">
        <v>2.0901087759968046E-4</v>
      </c>
      <c r="G46" s="18">
        <v>3.77296608356267E-4</v>
      </c>
      <c r="H46" s="18">
        <v>5.4558233911285343E-4</v>
      </c>
      <c r="I46" s="18">
        <v>7.1386806986944008E-4</v>
      </c>
      <c r="J46" s="18">
        <v>8.8215380062602652E-4</v>
      </c>
    </row>
    <row r="47" spans="2:10" x14ac:dyDescent="0.3">
      <c r="B47" s="23" t="s">
        <v>19</v>
      </c>
      <c r="C47" s="28" t="s">
        <v>74</v>
      </c>
      <c r="D47" s="29">
        <v>6.5924263985528229E-3</v>
      </c>
      <c r="E47" s="18">
        <v>6.4869475761759779E-4</v>
      </c>
      <c r="F47" s="18">
        <v>1.6375587174005213E-3</v>
      </c>
      <c r="G47" s="18">
        <v>2.9560439971110858E-3</v>
      </c>
      <c r="H47" s="18">
        <v>4.2745292768216498E-3</v>
      </c>
      <c r="I47" s="18">
        <v>5.5930145565322156E-3</v>
      </c>
      <c r="J47" s="18">
        <v>6.9114998362427797E-3</v>
      </c>
    </row>
    <row r="48" spans="2:10" x14ac:dyDescent="0.3">
      <c r="B48" s="24"/>
      <c r="C48" s="16" t="s">
        <v>75</v>
      </c>
      <c r="D48" s="17">
        <v>5.1542885675524733E-4</v>
      </c>
      <c r="E48" s="18">
        <v>5.0718199504716341E-5</v>
      </c>
      <c r="F48" s="18">
        <v>1.2803252801800344E-4</v>
      </c>
      <c r="G48" s="18">
        <v>2.3111829936905292E-4</v>
      </c>
      <c r="H48" s="18">
        <v>3.3420407072010236E-4</v>
      </c>
      <c r="I48" s="18">
        <v>4.3728984207115184E-4</v>
      </c>
      <c r="J48" s="18">
        <v>5.4037561342220133E-4</v>
      </c>
    </row>
    <row r="49" spans="2:10" x14ac:dyDescent="0.3">
      <c r="B49" s="24"/>
      <c r="C49" s="28" t="s">
        <v>76</v>
      </c>
      <c r="D49" s="17">
        <v>5.6156689238094828E-3</v>
      </c>
      <c r="E49" s="18">
        <v>5.5258182210285315E-4</v>
      </c>
      <c r="F49" s="18">
        <v>1.3949321606742755E-3</v>
      </c>
      <c r="G49" s="18">
        <v>2.5180659454361724E-3</v>
      </c>
      <c r="H49" s="18">
        <v>3.6411997301980686E-3</v>
      </c>
      <c r="I49" s="18">
        <v>4.7643335149599652E-3</v>
      </c>
      <c r="J49" s="18">
        <v>5.8874672997218614E-3</v>
      </c>
    </row>
    <row r="50" spans="2:10" x14ac:dyDescent="0.3">
      <c r="B50" s="23" t="s">
        <v>24</v>
      </c>
      <c r="C50" s="28" t="s">
        <v>74</v>
      </c>
      <c r="D50" s="17">
        <v>6.6793152843188652E-3</v>
      </c>
      <c r="E50" s="18">
        <v>6.572446239769764E-4</v>
      </c>
      <c r="F50" s="18">
        <v>1.6591419166248063E-3</v>
      </c>
      <c r="G50" s="18">
        <v>2.9950049734885791E-3</v>
      </c>
      <c r="H50" s="18">
        <v>4.3308680303523524E-3</v>
      </c>
      <c r="I50" s="18">
        <v>5.6667310872161253E-3</v>
      </c>
      <c r="J50" s="18">
        <v>7.0025941440798982E-3</v>
      </c>
    </row>
    <row r="51" spans="2:10" x14ac:dyDescent="0.3">
      <c r="B51" s="24"/>
      <c r="C51" s="28" t="s">
        <v>75</v>
      </c>
      <c r="D51" s="17">
        <v>5.2577319294474373E-4</v>
      </c>
      <c r="E51" s="18">
        <v>5.173608218576278E-5</v>
      </c>
      <c r="F51" s="18">
        <v>1.3060206112747435E-4</v>
      </c>
      <c r="G51" s="18">
        <v>2.3575669971642309E-4</v>
      </c>
      <c r="H51" s="18">
        <v>3.4091133830537184E-4</v>
      </c>
      <c r="I51" s="18">
        <v>4.4606597689432058E-4</v>
      </c>
      <c r="J51" s="18">
        <v>5.5122061548326933E-4</v>
      </c>
    </row>
    <row r="52" spans="2:10" x14ac:dyDescent="0.3">
      <c r="B52" s="24"/>
      <c r="C52" s="28" t="s">
        <v>76</v>
      </c>
      <c r="D52" s="17">
        <v>5.6921538783786616E-3</v>
      </c>
      <c r="E52" s="18">
        <v>5.6010794163246027E-4</v>
      </c>
      <c r="F52" s="18">
        <v>1.4139310233892595E-3</v>
      </c>
      <c r="G52" s="18">
        <v>2.5523617990649921E-3</v>
      </c>
      <c r="H52" s="18">
        <v>3.6907925747407242E-3</v>
      </c>
      <c r="I52" s="18">
        <v>4.8292233504164568E-3</v>
      </c>
      <c r="J52" s="18">
        <v>5.967654126092189E-3</v>
      </c>
    </row>
    <row r="53" spans="2:10" x14ac:dyDescent="0.3">
      <c r="B53" s="23" t="s">
        <v>30</v>
      </c>
      <c r="C53" s="28" t="s">
        <v>74</v>
      </c>
      <c r="D53" s="17">
        <v>1.2644231343078394E-2</v>
      </c>
      <c r="E53" s="18">
        <v>1.244192364158914E-3</v>
      </c>
      <c r="F53" s="18">
        <v>3.1408270656206731E-3</v>
      </c>
      <c r="G53" s="18">
        <v>5.6696733342363522E-3</v>
      </c>
      <c r="H53" s="18">
        <v>8.19851960285203E-3</v>
      </c>
      <c r="I53" s="18">
        <v>1.072736587146771E-2</v>
      </c>
      <c r="J53" s="18">
        <v>1.3256212140083389E-2</v>
      </c>
    </row>
    <row r="54" spans="2:10" x14ac:dyDescent="0.3">
      <c r="B54" s="24"/>
      <c r="C54" s="28" t="s">
        <v>75</v>
      </c>
      <c r="D54" s="17">
        <v>1.3881785235329808E-3</v>
      </c>
      <c r="E54" s="18">
        <v>1.365967667156453E-4</v>
      </c>
      <c r="F54" s="18">
        <v>3.4482354524559245E-4</v>
      </c>
      <c r="G54" s="18">
        <v>6.2245924995218862E-4</v>
      </c>
      <c r="H54" s="18">
        <v>9.0009495465878469E-4</v>
      </c>
      <c r="I54" s="18">
        <v>1.177730659365381E-3</v>
      </c>
      <c r="J54" s="18">
        <v>1.455366364071977E-3</v>
      </c>
    </row>
    <row r="55" spans="2:10" x14ac:dyDescent="0.3">
      <c r="B55" s="24"/>
      <c r="C55" s="28" t="s">
        <v>76</v>
      </c>
      <c r="D55" s="17">
        <v>1.1008149493331383E-2</v>
      </c>
      <c r="E55" s="18">
        <v>1.083201910143808E-3</v>
      </c>
      <c r="F55" s="18">
        <v>2.7344243341435154E-3</v>
      </c>
      <c r="G55" s="18">
        <v>4.9360542328097919E-3</v>
      </c>
      <c r="H55" s="18">
        <v>7.1376841314760679E-3</v>
      </c>
      <c r="I55" s="18">
        <v>9.3393140301423448E-3</v>
      </c>
      <c r="J55" s="18">
        <v>1.1540943928808622E-2</v>
      </c>
    </row>
    <row r="56" spans="2:10" x14ac:dyDescent="0.3">
      <c r="B56" s="23" t="s">
        <v>46</v>
      </c>
      <c r="C56" s="28" t="s">
        <v>74</v>
      </c>
      <c r="D56" s="17">
        <v>2.4611407655023947E-2</v>
      </c>
      <c r="E56" s="18">
        <v>2.4217625132543566E-3</v>
      </c>
      <c r="F56" s="18">
        <v>6.1134736615079486E-3</v>
      </c>
      <c r="G56" s="18">
        <v>1.1035755192512738E-2</v>
      </c>
      <c r="H56" s="18">
        <v>1.5958036723517526E-2</v>
      </c>
      <c r="I56" s="18">
        <v>2.0880318254522318E-2</v>
      </c>
      <c r="J56" s="18">
        <v>2.5802599785527104E-2</v>
      </c>
    </row>
    <row r="57" spans="2:10" x14ac:dyDescent="0.3">
      <c r="B57" s="24"/>
      <c r="C57" s="28" t="s">
        <v>75</v>
      </c>
      <c r="D57" s="17">
        <v>3.8526723534073968E-3</v>
      </c>
      <c r="E57" s="18">
        <v>3.7910295957528786E-4</v>
      </c>
      <c r="F57" s="18">
        <v>9.5700381258639737E-4</v>
      </c>
      <c r="G57" s="18">
        <v>1.7275382832678769E-3</v>
      </c>
      <c r="H57" s="18">
        <v>2.4980727539493561E-3</v>
      </c>
      <c r="I57" s="18">
        <v>3.2686072246308354E-3</v>
      </c>
      <c r="J57" s="18">
        <v>4.0391416953123151E-3</v>
      </c>
    </row>
    <row r="58" spans="2:10" x14ac:dyDescent="0.3">
      <c r="B58" s="24"/>
      <c r="C58" s="28" t="s">
        <v>76</v>
      </c>
      <c r="D58" s="17">
        <v>2.1923111596303207E-2</v>
      </c>
      <c r="E58" s="18">
        <v>2.1572341810762357E-3</v>
      </c>
      <c r="F58" s="18">
        <v>5.4457009205217165E-3</v>
      </c>
      <c r="G58" s="18">
        <v>9.8303232397823591E-3</v>
      </c>
      <c r="H58" s="18">
        <v>1.4214945559042999E-2</v>
      </c>
      <c r="I58" s="18">
        <v>1.8599567878303642E-2</v>
      </c>
      <c r="J58" s="18">
        <v>2.2984190197564282E-2</v>
      </c>
    </row>
    <row r="59" spans="2:10" x14ac:dyDescent="0.3">
      <c r="B59" s="23" t="s">
        <v>50</v>
      </c>
      <c r="C59" s="28" t="s">
        <v>74</v>
      </c>
      <c r="D59" s="17">
        <v>4.8502215250910648E-2</v>
      </c>
      <c r="E59" s="18">
        <v>4.7726179806896075E-3</v>
      </c>
      <c r="F59" s="18">
        <v>1.2047950268326205E-2</v>
      </c>
      <c r="G59" s="18">
        <v>2.1748393318508336E-2</v>
      </c>
      <c r="H59" s="18">
        <v>3.1448836368690461E-2</v>
      </c>
      <c r="I59" s="18">
        <v>4.1149279418872593E-2</v>
      </c>
      <c r="J59" s="18">
        <v>5.0849722469054726E-2</v>
      </c>
    </row>
    <row r="60" spans="2:10" x14ac:dyDescent="0.3">
      <c r="B60" s="24"/>
      <c r="C60" s="28" t="s">
        <v>75</v>
      </c>
      <c r="D60" s="17">
        <v>1.1052819491229677E-2</v>
      </c>
      <c r="E60" s="18">
        <v>1.0875974379370003E-3</v>
      </c>
      <c r="F60" s="18">
        <v>2.745520361621452E-3</v>
      </c>
      <c r="G60" s="18">
        <v>4.9560842598673875E-3</v>
      </c>
      <c r="H60" s="18">
        <v>7.1666481581133222E-3</v>
      </c>
      <c r="I60" s="18">
        <v>9.3772120563592586E-3</v>
      </c>
      <c r="J60" s="18">
        <v>1.1587775954605193E-2</v>
      </c>
    </row>
    <row r="61" spans="2:10" x14ac:dyDescent="0.3">
      <c r="B61" s="24"/>
      <c r="C61" s="28" t="s">
        <v>76</v>
      </c>
      <c r="D61" s="17">
        <v>4.4267043591192601E-2</v>
      </c>
      <c r="E61" s="18">
        <v>4.3558770893733518E-3</v>
      </c>
      <c r="F61" s="18">
        <v>1.0995933628052243E-2</v>
      </c>
      <c r="G61" s="18">
        <v>1.9849342346290762E-2</v>
      </c>
      <c r="H61" s="18">
        <v>2.870275106452928E-2</v>
      </c>
      <c r="I61" s="18">
        <v>3.7556159782767808E-2</v>
      </c>
      <c r="J61" s="18">
        <v>4.6409568501006325E-2</v>
      </c>
    </row>
    <row r="62" spans="2:10" x14ac:dyDescent="0.3">
      <c r="B62" s="23" t="s">
        <v>53</v>
      </c>
      <c r="C62" s="28" t="s">
        <v>74</v>
      </c>
      <c r="D62" s="17">
        <v>7.9835554651469784E-2</v>
      </c>
      <c r="E62" s="18">
        <v>7.855818577704626E-3</v>
      </c>
      <c r="F62" s="18">
        <v>1.9831151775425094E-2</v>
      </c>
      <c r="G62" s="18">
        <v>3.579826270571905E-2</v>
      </c>
      <c r="H62" s="18">
        <v>5.1765373636013003E-2</v>
      </c>
      <c r="I62" s="18">
        <v>6.7732484566306969E-2</v>
      </c>
      <c r="J62" s="18">
        <v>8.3699595496600915E-2</v>
      </c>
    </row>
    <row r="63" spans="2:10" x14ac:dyDescent="0.3">
      <c r="B63" s="24"/>
      <c r="C63" s="28" t="s">
        <v>75</v>
      </c>
      <c r="D63" s="17">
        <v>2.4334003494323075E-2</v>
      </c>
      <c r="E63" s="18">
        <v>2.3944659438413906E-3</v>
      </c>
      <c r="F63" s="18">
        <v>6.0445664679898521E-3</v>
      </c>
      <c r="G63" s="18">
        <v>1.0911367166854468E-2</v>
      </c>
      <c r="H63" s="18">
        <v>1.5778167865719082E-2</v>
      </c>
      <c r="I63" s="18">
        <v>2.0644968564583699E-2</v>
      </c>
      <c r="J63" s="18">
        <v>2.5511769263448312E-2</v>
      </c>
    </row>
    <row r="64" spans="2:10" x14ac:dyDescent="0.3">
      <c r="B64" s="24"/>
      <c r="C64" s="28" t="s">
        <v>76</v>
      </c>
      <c r="D64" s="17">
        <v>7.4241623524954004E-2</v>
      </c>
      <c r="E64" s="18">
        <v>7.3053757548554744E-3</v>
      </c>
      <c r="F64" s="18">
        <v>1.8441619283598575E-2</v>
      </c>
      <c r="G64" s="18">
        <v>3.3289943988589379E-2</v>
      </c>
      <c r="H64" s="18">
        <v>4.8138268693580177E-2</v>
      </c>
      <c r="I64" s="18">
        <v>6.2986593398570975E-2</v>
      </c>
      <c r="J64" s="18">
        <v>7.7834918103561773E-2</v>
      </c>
    </row>
    <row r="65" spans="2:10" x14ac:dyDescent="0.3">
      <c r="B65" s="23" t="s">
        <v>55</v>
      </c>
      <c r="C65" s="28" t="s">
        <v>74</v>
      </c>
      <c r="D65" s="17">
        <v>0.16757850720665637</v>
      </c>
      <c r="E65" s="18">
        <v>1.6489725109134986E-2</v>
      </c>
      <c r="F65" s="18">
        <v>4.1626501190133447E-2</v>
      </c>
      <c r="G65" s="18">
        <v>7.5142202631464719E-2</v>
      </c>
      <c r="H65" s="18">
        <v>0.10865790407279599</v>
      </c>
      <c r="I65" s="18">
        <v>0.14217360551412728</v>
      </c>
      <c r="J65" s="18">
        <v>0.17568930695545854</v>
      </c>
    </row>
    <row r="66" spans="2:10" x14ac:dyDescent="0.3">
      <c r="B66" s="24"/>
      <c r="C66" s="28" t="s">
        <v>75</v>
      </c>
      <c r="D66" s="17">
        <v>8.1608457420757979E-2</v>
      </c>
      <c r="E66" s="18">
        <v>8.030272210202586E-3</v>
      </c>
      <c r="F66" s="18">
        <v>2.0271540823316284E-2</v>
      </c>
      <c r="G66" s="18">
        <v>3.6593232307467881E-2</v>
      </c>
      <c r="H66" s="18">
        <v>5.2914923791619474E-2</v>
      </c>
      <c r="I66" s="18">
        <v>6.9236615275771074E-2</v>
      </c>
      <c r="J66" s="18">
        <v>8.5558306759922667E-2</v>
      </c>
    </row>
    <row r="67" spans="2:10" x14ac:dyDescent="0.3">
      <c r="B67" s="24"/>
      <c r="C67" s="28" t="s">
        <v>76</v>
      </c>
      <c r="D67" s="17">
        <v>0.16050007698673269</v>
      </c>
      <c r="E67" s="18">
        <v>1.5793207575494496E-2</v>
      </c>
      <c r="F67" s="18">
        <v>3.9868219123504398E-2</v>
      </c>
      <c r="G67" s="18">
        <v>7.1968234520850938E-2</v>
      </c>
      <c r="H67" s="18">
        <v>0.10406824991819746</v>
      </c>
      <c r="I67" s="18">
        <v>0.13616826531554402</v>
      </c>
      <c r="J67" s="18">
        <v>0.16826828071289054</v>
      </c>
    </row>
    <row r="68" spans="2:10" x14ac:dyDescent="0.3">
      <c r="B68" s="23" t="s">
        <v>58</v>
      </c>
      <c r="C68" s="28" t="s">
        <v>74</v>
      </c>
      <c r="D68" s="17">
        <v>0.48700583403538927</v>
      </c>
      <c r="E68" s="18">
        <v>4.7921374069082305E-2</v>
      </c>
      <c r="F68" s="18">
        <v>0.1209722491743907</v>
      </c>
      <c r="G68" s="18">
        <v>0.21837341598146856</v>
      </c>
      <c r="H68" s="18">
        <v>0.31577458278854642</v>
      </c>
      <c r="I68" s="18">
        <v>0.41317574959562425</v>
      </c>
      <c r="J68" s="18">
        <v>0.51057691640270209</v>
      </c>
    </row>
    <row r="69" spans="2:10" x14ac:dyDescent="0.3">
      <c r="B69" s="24"/>
      <c r="C69" s="28" t="s">
        <v>75</v>
      </c>
      <c r="D69" s="17">
        <v>0.48037591636049537</v>
      </c>
      <c r="E69" s="18">
        <v>4.7268990169872745E-2</v>
      </c>
      <c r="F69" s="18">
        <v>0.11932537762394706</v>
      </c>
      <c r="G69" s="18">
        <v>0.21540056089604614</v>
      </c>
      <c r="H69" s="18">
        <v>0.31147574416814516</v>
      </c>
      <c r="I69" s="18">
        <v>0.40755092744024429</v>
      </c>
      <c r="J69" s="18">
        <v>0.50362611071234331</v>
      </c>
    </row>
    <row r="70" spans="2:10" x14ac:dyDescent="0.3">
      <c r="B70" s="24"/>
      <c r="C70" s="28" t="s">
        <v>76</v>
      </c>
      <c r="D70" s="17">
        <v>0.48658728117669392</v>
      </c>
      <c r="E70" s="18">
        <v>4.7880188467786682E-2</v>
      </c>
      <c r="F70" s="18">
        <v>0.12086828064429077</v>
      </c>
      <c r="G70" s="18">
        <v>0.21818573687962955</v>
      </c>
      <c r="H70" s="18">
        <v>0.31550319311496833</v>
      </c>
      <c r="I70" s="18">
        <v>0.41282064935030716</v>
      </c>
      <c r="J70" s="18">
        <v>0.51013810558564587</v>
      </c>
    </row>
    <row r="71" spans="2:10" x14ac:dyDescent="0.3">
      <c r="B71" s="23" t="s">
        <v>60</v>
      </c>
      <c r="C71" s="28" t="s">
        <v>74</v>
      </c>
      <c r="D71" s="17">
        <v>1</v>
      </c>
      <c r="E71" s="18">
        <v>9.8400000000000001E-2</v>
      </c>
      <c r="F71" s="18">
        <v>0.24840000000000001</v>
      </c>
      <c r="G71" s="18">
        <v>0.44840000000000002</v>
      </c>
      <c r="H71" s="18">
        <v>0.64839999999999998</v>
      </c>
      <c r="I71" s="18">
        <v>0.84840000000000004</v>
      </c>
      <c r="J71" s="18">
        <v>1.0484</v>
      </c>
    </row>
    <row r="72" spans="2:10" x14ac:dyDescent="0.3">
      <c r="B72" s="24"/>
      <c r="C72" s="28" t="s">
        <v>75</v>
      </c>
      <c r="D72" s="17">
        <v>1</v>
      </c>
      <c r="E72" s="18">
        <v>9.8400000000000001E-2</v>
      </c>
      <c r="F72" s="18">
        <v>0.24840000000000001</v>
      </c>
      <c r="G72" s="18">
        <v>0.44840000000000002</v>
      </c>
      <c r="H72" s="18">
        <v>0.64839999999999998</v>
      </c>
      <c r="I72" s="18">
        <v>0.84840000000000004</v>
      </c>
      <c r="J72" s="18">
        <v>1.0484</v>
      </c>
    </row>
    <row r="73" spans="2:10" x14ac:dyDescent="0.3">
      <c r="B73" s="25"/>
      <c r="C73" s="28" t="s">
        <v>76</v>
      </c>
      <c r="D73" s="17">
        <v>1</v>
      </c>
      <c r="E73" s="18">
        <v>9.8400000000000001E-2</v>
      </c>
      <c r="F73" s="18">
        <v>0.24840000000000001</v>
      </c>
      <c r="G73" s="18">
        <v>0.44840000000000002</v>
      </c>
      <c r="H73" s="18">
        <v>0.64839999999999998</v>
      </c>
      <c r="I73" s="18">
        <v>0.84840000000000004</v>
      </c>
      <c r="J73" s="18">
        <v>1.0484</v>
      </c>
    </row>
    <row r="75" spans="2:10" x14ac:dyDescent="0.3">
      <c r="B75" s="26" t="s">
        <v>81</v>
      </c>
    </row>
    <row r="76" spans="2:10" x14ac:dyDescent="0.3">
      <c r="B76" s="1"/>
      <c r="C76" s="32"/>
      <c r="E76" s="117" t="s">
        <v>0</v>
      </c>
      <c r="F76" s="117"/>
      <c r="G76" s="117"/>
      <c r="H76" s="117"/>
      <c r="I76" s="117"/>
      <c r="J76" s="117"/>
    </row>
    <row r="77" spans="2:10" ht="14.4" hidden="1" customHeight="1" x14ac:dyDescent="0.3">
      <c r="B77" s="1"/>
      <c r="C77" s="32"/>
      <c r="E77" s="79">
        <v>9.8400000000000001E-2</v>
      </c>
      <c r="F77" s="79">
        <v>0.24840000000000001</v>
      </c>
      <c r="G77" s="79">
        <v>0.44840000000000002</v>
      </c>
      <c r="H77" s="79">
        <v>0.64839999999999998</v>
      </c>
      <c r="I77" s="79">
        <v>0.84840000000000004</v>
      </c>
      <c r="J77" s="79">
        <v>1.0484</v>
      </c>
    </row>
    <row r="78" spans="2:10" ht="14.4" customHeight="1" x14ac:dyDescent="0.3">
      <c r="B78" s="1"/>
      <c r="C78" s="32"/>
      <c r="E78" s="3" t="s">
        <v>3</v>
      </c>
      <c r="F78" s="3" t="s">
        <v>4</v>
      </c>
      <c r="G78" s="3" t="s">
        <v>5</v>
      </c>
      <c r="H78" s="3" t="s">
        <v>6</v>
      </c>
      <c r="I78" s="3" t="s">
        <v>7</v>
      </c>
      <c r="J78" s="3" t="s">
        <v>8</v>
      </c>
    </row>
    <row r="79" spans="2:10" x14ac:dyDescent="0.3">
      <c r="B79" s="21" t="s">
        <v>1</v>
      </c>
      <c r="C79" s="22" t="s">
        <v>73</v>
      </c>
      <c r="D79" s="5" t="s">
        <v>2</v>
      </c>
      <c r="E79" s="3" t="s">
        <v>91</v>
      </c>
      <c r="F79" s="3" t="s">
        <v>91</v>
      </c>
      <c r="G79" s="3" t="s">
        <v>91</v>
      </c>
      <c r="H79" s="3" t="s">
        <v>91</v>
      </c>
      <c r="I79" s="3" t="s">
        <v>91</v>
      </c>
      <c r="J79" s="3" t="s">
        <v>91</v>
      </c>
    </row>
    <row r="80" spans="2:10" x14ac:dyDescent="0.3">
      <c r="B80" s="23" t="s">
        <v>13</v>
      </c>
      <c r="C80" s="28" t="s">
        <v>74</v>
      </c>
      <c r="D80" s="80">
        <v>3.7936504334519283E-4</v>
      </c>
      <c r="E80" s="18">
        <v>3.7329520265166975E-5</v>
      </c>
      <c r="F80" s="18">
        <v>9.4234276766945902E-5</v>
      </c>
      <c r="G80" s="18">
        <v>1.7010728543598446E-4</v>
      </c>
      <c r="H80" s="18">
        <v>2.4598029410502302E-4</v>
      </c>
      <c r="I80" s="18">
        <v>3.2185330277406161E-4</v>
      </c>
      <c r="J80" s="18">
        <v>3.9772631144310014E-4</v>
      </c>
    </row>
    <row r="81" spans="2:10" x14ac:dyDescent="0.3">
      <c r="B81" s="24"/>
      <c r="C81" s="28" t="s">
        <v>75</v>
      </c>
      <c r="D81" s="81">
        <v>1.8817024372316756E-5</v>
      </c>
      <c r="E81" s="18">
        <v>1.8515951982359689E-6</v>
      </c>
      <c r="F81" s="18">
        <v>4.6741488540834821E-6</v>
      </c>
      <c r="G81" s="18">
        <v>8.4375537285468345E-6</v>
      </c>
      <c r="H81" s="18">
        <v>1.2200958603010184E-5</v>
      </c>
      <c r="I81" s="18">
        <v>1.5964363477473538E-5</v>
      </c>
      <c r="J81" s="18">
        <v>1.9727768351936887E-5</v>
      </c>
    </row>
    <row r="82" spans="2:10" x14ac:dyDescent="0.3">
      <c r="B82" s="24"/>
      <c r="C82" s="28" t="s">
        <v>76</v>
      </c>
      <c r="D82" s="17">
        <v>4.1291432791249475E-4</v>
      </c>
      <c r="E82" s="18">
        <v>4.0630769866589487E-5</v>
      </c>
      <c r="F82" s="18">
        <v>1.025679190534637E-4</v>
      </c>
      <c r="G82" s="18">
        <v>1.8515078463596265E-4</v>
      </c>
      <c r="H82" s="18">
        <v>2.6773365021846157E-4</v>
      </c>
      <c r="I82" s="18">
        <v>3.5031651580096058E-4</v>
      </c>
      <c r="J82" s="18">
        <v>4.3289938138345947E-4</v>
      </c>
    </row>
    <row r="83" spans="2:10" x14ac:dyDescent="0.3">
      <c r="B83" s="23" t="s">
        <v>19</v>
      </c>
      <c r="C83" s="28" t="s">
        <v>74</v>
      </c>
      <c r="D83" s="29">
        <v>3.1420001250837687E-3</v>
      </c>
      <c r="E83" s="18">
        <v>3.0917281230824283E-4</v>
      </c>
      <c r="F83" s="18">
        <v>7.8047283107080814E-4</v>
      </c>
      <c r="G83" s="18">
        <v>1.408872856087562E-3</v>
      </c>
      <c r="H83" s="18">
        <v>2.0372728811043155E-3</v>
      </c>
      <c r="I83" s="18">
        <v>2.6656729061210697E-3</v>
      </c>
      <c r="J83" s="18">
        <v>3.294072931137823E-3</v>
      </c>
    </row>
    <row r="84" spans="2:10" x14ac:dyDescent="0.3">
      <c r="B84" s="24"/>
      <c r="C84" s="16" t="s">
        <v>75</v>
      </c>
      <c r="D84" s="17">
        <v>3.495239757095138E-4</v>
      </c>
      <c r="E84" s="18">
        <v>3.4393159209816155E-5</v>
      </c>
      <c r="F84" s="18">
        <v>8.6821755566243226E-5</v>
      </c>
      <c r="G84" s="18">
        <v>1.5672655070814599E-4</v>
      </c>
      <c r="H84" s="18">
        <v>2.2663134585004875E-4</v>
      </c>
      <c r="I84" s="18">
        <v>2.9653614099195153E-4</v>
      </c>
      <c r="J84" s="18">
        <v>3.6644093613385429E-4</v>
      </c>
    </row>
    <row r="85" spans="2:10" x14ac:dyDescent="0.3">
      <c r="B85" s="24"/>
      <c r="C85" s="28" t="s">
        <v>76</v>
      </c>
      <c r="D85" s="17">
        <v>3.342401643853733E-3</v>
      </c>
      <c r="E85" s="18">
        <v>3.2889232175520734E-4</v>
      </c>
      <c r="F85" s="18">
        <v>8.3025256833326735E-4</v>
      </c>
      <c r="G85" s="18">
        <v>1.4987328971040139E-3</v>
      </c>
      <c r="H85" s="18">
        <v>2.1672132258747602E-3</v>
      </c>
      <c r="I85" s="18">
        <v>2.8356935546455073E-3</v>
      </c>
      <c r="J85" s="18">
        <v>3.5041738834162535E-3</v>
      </c>
    </row>
    <row r="86" spans="2:10" x14ac:dyDescent="0.3">
      <c r="B86" s="23" t="s">
        <v>24</v>
      </c>
      <c r="C86" s="28" t="s">
        <v>74</v>
      </c>
      <c r="D86" s="17">
        <v>3.1897635213634524E-3</v>
      </c>
      <c r="E86" s="18">
        <v>3.1387273050216373E-4</v>
      </c>
      <c r="F86" s="18">
        <v>7.9233725870668157E-4</v>
      </c>
      <c r="G86" s="18">
        <v>1.4302899629793722E-3</v>
      </c>
      <c r="H86" s="18">
        <v>2.0682426672520623E-3</v>
      </c>
      <c r="I86" s="18">
        <v>2.706195371524753E-3</v>
      </c>
      <c r="J86" s="18">
        <v>3.3441480757974433E-3</v>
      </c>
    </row>
    <row r="87" spans="2:10" x14ac:dyDescent="0.3">
      <c r="B87" s="24"/>
      <c r="C87" s="28" t="s">
        <v>75</v>
      </c>
      <c r="D87" s="17">
        <v>3.5690279022257014E-4</v>
      </c>
      <c r="E87" s="18">
        <v>3.5119234557900901E-5</v>
      </c>
      <c r="F87" s="18">
        <v>8.8654653091286423E-5</v>
      </c>
      <c r="G87" s="18">
        <v>1.6003521113580046E-4</v>
      </c>
      <c r="H87" s="18">
        <v>2.3141576918031447E-4</v>
      </c>
      <c r="I87" s="18">
        <v>3.0279632722482854E-4</v>
      </c>
      <c r="J87" s="18">
        <v>3.7417688526934252E-4</v>
      </c>
    </row>
    <row r="88" spans="2:10" x14ac:dyDescent="0.3">
      <c r="B88" s="24"/>
      <c r="C88" s="28" t="s">
        <v>76</v>
      </c>
      <c r="D88" s="17">
        <v>3.3926508271829347E-3</v>
      </c>
      <c r="E88" s="18">
        <v>3.3383684139480079E-4</v>
      </c>
      <c r="F88" s="18">
        <v>8.4273446547224098E-4</v>
      </c>
      <c r="G88" s="18">
        <v>1.521264630908828E-3</v>
      </c>
      <c r="H88" s="18">
        <v>2.1997947963454147E-3</v>
      </c>
      <c r="I88" s="18">
        <v>2.8783249617820019E-3</v>
      </c>
      <c r="J88" s="18">
        <v>3.5568551272185888E-3</v>
      </c>
    </row>
    <row r="89" spans="2:10" x14ac:dyDescent="0.3">
      <c r="B89" s="23" t="s">
        <v>30</v>
      </c>
      <c r="C89" s="28" t="s">
        <v>74</v>
      </c>
      <c r="D89" s="17">
        <v>6.6603373254230666E-3</v>
      </c>
      <c r="E89" s="18">
        <v>6.5537719282162971E-4</v>
      </c>
      <c r="F89" s="18">
        <v>1.6544277916350899E-3</v>
      </c>
      <c r="G89" s="18">
        <v>2.9864952567197033E-3</v>
      </c>
      <c r="H89" s="18">
        <v>4.3185627218043166E-3</v>
      </c>
      <c r="I89" s="18">
        <v>5.6506301868889299E-3</v>
      </c>
      <c r="J89" s="18">
        <v>6.9826976519735432E-3</v>
      </c>
    </row>
    <row r="90" spans="2:10" x14ac:dyDescent="0.3">
      <c r="B90" s="24"/>
      <c r="C90" s="28" t="s">
        <v>75</v>
      </c>
      <c r="D90" s="17">
        <v>9.9062177052317837E-4</v>
      </c>
      <c r="E90" s="18">
        <v>9.7477182219480758E-5</v>
      </c>
      <c r="F90" s="18">
        <v>2.4607044779795749E-4</v>
      </c>
      <c r="G90" s="18">
        <v>4.4419480190259318E-4</v>
      </c>
      <c r="H90" s="18">
        <v>6.4231915600722886E-4</v>
      </c>
      <c r="I90" s="18">
        <v>8.404435101118646E-4</v>
      </c>
      <c r="J90" s="18">
        <v>1.0385678642165002E-3</v>
      </c>
    </row>
    <row r="91" spans="2:10" x14ac:dyDescent="0.3">
      <c r="B91" s="24"/>
      <c r="C91" s="28" t="s">
        <v>76</v>
      </c>
      <c r="D91" s="17">
        <v>7.0266795607800232E-3</v>
      </c>
      <c r="E91" s="18">
        <v>6.9142526878075434E-4</v>
      </c>
      <c r="F91" s="18">
        <v>1.7454272028977578E-3</v>
      </c>
      <c r="G91" s="18">
        <v>3.1507631150537625E-3</v>
      </c>
      <c r="H91" s="18">
        <v>4.5560990272097666E-3</v>
      </c>
      <c r="I91" s="18">
        <v>5.9614349393657716E-3</v>
      </c>
      <c r="J91" s="18">
        <v>7.3667708515217766E-3</v>
      </c>
    </row>
    <row r="92" spans="2:10" x14ac:dyDescent="0.3">
      <c r="B92" s="23" t="s">
        <v>46</v>
      </c>
      <c r="C92" s="28" t="s">
        <v>74</v>
      </c>
      <c r="D92" s="17">
        <v>1.4398735668477596E-2</v>
      </c>
      <c r="E92" s="18">
        <v>1.4168355897781954E-3</v>
      </c>
      <c r="F92" s="18">
        <v>3.5766459400498347E-3</v>
      </c>
      <c r="G92" s="18">
        <v>6.4563930737453539E-3</v>
      </c>
      <c r="H92" s="18">
        <v>9.3361402074408732E-3</v>
      </c>
      <c r="I92" s="18">
        <v>1.2215887341136393E-2</v>
      </c>
      <c r="J92" s="18">
        <v>1.5095634474831912E-2</v>
      </c>
    </row>
    <row r="93" spans="2:10" x14ac:dyDescent="0.3">
      <c r="B93" s="24"/>
      <c r="C93" s="28" t="s">
        <v>75</v>
      </c>
      <c r="D93" s="17">
        <v>2.8989652759426211E-3</v>
      </c>
      <c r="E93" s="18">
        <v>2.8525818315275391E-4</v>
      </c>
      <c r="F93" s="18">
        <v>7.2010297454414712E-4</v>
      </c>
      <c r="G93" s="18">
        <v>1.2998960297326714E-3</v>
      </c>
      <c r="H93" s="18">
        <v>1.8796890849211954E-3</v>
      </c>
      <c r="I93" s="18">
        <v>2.4594821401097196E-3</v>
      </c>
      <c r="J93" s="18">
        <v>3.0392751952982439E-3</v>
      </c>
    </row>
    <row r="94" spans="2:10" x14ac:dyDescent="0.3">
      <c r="B94" s="24"/>
      <c r="C94" s="28" t="s">
        <v>76</v>
      </c>
      <c r="D94" s="17">
        <v>1.5059413151610504E-2</v>
      </c>
      <c r="E94" s="18">
        <v>1.4818462541184736E-3</v>
      </c>
      <c r="F94" s="18">
        <v>3.7407582268600493E-3</v>
      </c>
      <c r="G94" s="18">
        <v>6.7526408571821506E-3</v>
      </c>
      <c r="H94" s="18">
        <v>9.7645234875042512E-3</v>
      </c>
      <c r="I94" s="18">
        <v>1.2776406117826352E-2</v>
      </c>
      <c r="J94" s="18">
        <v>1.5788288748148454E-2</v>
      </c>
    </row>
    <row r="95" spans="2:10" x14ac:dyDescent="0.3">
      <c r="B95" s="23" t="s">
        <v>50</v>
      </c>
      <c r="C95" s="28" t="s">
        <v>74</v>
      </c>
      <c r="D95" s="17">
        <v>3.1719883989123843E-2</v>
      </c>
      <c r="E95" s="18">
        <v>3.121236584529786E-3</v>
      </c>
      <c r="F95" s="18">
        <v>7.8792191828983629E-3</v>
      </c>
      <c r="G95" s="18">
        <v>1.4223195980723132E-2</v>
      </c>
      <c r="H95" s="18">
        <v>2.0567172778547898E-2</v>
      </c>
      <c r="I95" s="18">
        <v>2.6911149576372671E-2</v>
      </c>
      <c r="J95" s="18">
        <v>3.325512637419744E-2</v>
      </c>
    </row>
    <row r="96" spans="2:10" x14ac:dyDescent="0.3">
      <c r="B96" s="24"/>
      <c r="C96" s="28" t="s">
        <v>75</v>
      </c>
      <c r="D96" s="17">
        <v>8.7936386085939525E-3</v>
      </c>
      <c r="E96" s="18">
        <v>8.6529403908564494E-4</v>
      </c>
      <c r="F96" s="18">
        <v>2.1843398303747377E-3</v>
      </c>
      <c r="G96" s="18">
        <v>3.9430675520935286E-3</v>
      </c>
      <c r="H96" s="18">
        <v>5.7017952738123183E-3</v>
      </c>
      <c r="I96" s="18">
        <v>7.4605229955311096E-3</v>
      </c>
      <c r="J96" s="18">
        <v>9.2192507172499001E-3</v>
      </c>
    </row>
    <row r="97" spans="2:10" x14ac:dyDescent="0.3">
      <c r="B97" s="24"/>
      <c r="C97" s="28" t="s">
        <v>76</v>
      </c>
      <c r="D97" s="17">
        <v>3.2871136601370476E-2</v>
      </c>
      <c r="E97" s="18">
        <v>3.2345198415748549E-3</v>
      </c>
      <c r="F97" s="18">
        <v>8.165190331780427E-3</v>
      </c>
      <c r="G97" s="18">
        <v>1.4739417652054523E-2</v>
      </c>
      <c r="H97" s="18">
        <v>2.1313644972328617E-2</v>
      </c>
      <c r="I97" s="18">
        <v>2.7887872292602714E-2</v>
      </c>
      <c r="J97" s="18">
        <v>3.4462099612876808E-2</v>
      </c>
    </row>
    <row r="98" spans="2:10" x14ac:dyDescent="0.3">
      <c r="B98" s="23" t="s">
        <v>53</v>
      </c>
      <c r="C98" s="28" t="s">
        <v>74</v>
      </c>
      <c r="D98" s="17">
        <v>5.6904184665083075E-2</v>
      </c>
      <c r="E98" s="18">
        <v>5.5993717710441744E-3</v>
      </c>
      <c r="F98" s="18">
        <v>1.4134999470806637E-2</v>
      </c>
      <c r="G98" s="18">
        <v>2.5515836403823253E-2</v>
      </c>
      <c r="H98" s="18">
        <v>3.6896673336839866E-2</v>
      </c>
      <c r="I98" s="18">
        <v>4.8277510269856487E-2</v>
      </c>
      <c r="J98" s="18">
        <v>5.9658347202873094E-2</v>
      </c>
    </row>
    <row r="99" spans="2:10" x14ac:dyDescent="0.3">
      <c r="B99" s="24"/>
      <c r="C99" s="28" t="s">
        <v>75</v>
      </c>
      <c r="D99" s="17">
        <v>2.0213505508933041E-2</v>
      </c>
      <c r="E99" s="18">
        <v>1.9890089420790112E-3</v>
      </c>
      <c r="F99" s="18">
        <v>5.021034768418968E-3</v>
      </c>
      <c r="G99" s="18">
        <v>9.0637358702055758E-3</v>
      </c>
      <c r="H99" s="18">
        <v>1.3106436971992184E-2</v>
      </c>
      <c r="I99" s="18">
        <v>1.7149138073778793E-2</v>
      </c>
      <c r="J99" s="18">
        <v>2.11918391755654E-2</v>
      </c>
    </row>
    <row r="100" spans="2:10" x14ac:dyDescent="0.3">
      <c r="B100" s="24"/>
      <c r="C100" s="28" t="s">
        <v>76</v>
      </c>
      <c r="D100" s="17">
        <v>5.8550302727228061E-2</v>
      </c>
      <c r="E100" s="18">
        <v>5.7613497883592414E-3</v>
      </c>
      <c r="F100" s="18">
        <v>1.4543895197443452E-2</v>
      </c>
      <c r="G100" s="18">
        <v>2.6253955742889065E-2</v>
      </c>
      <c r="H100" s="18">
        <v>3.7964016288334672E-2</v>
      </c>
      <c r="I100" s="18">
        <v>4.9674076833780292E-2</v>
      </c>
      <c r="J100" s="18">
        <v>6.1384137379225899E-2</v>
      </c>
    </row>
    <row r="101" spans="2:10" x14ac:dyDescent="0.3">
      <c r="B101" s="23" t="s">
        <v>55</v>
      </c>
      <c r="C101" s="28" t="s">
        <v>74</v>
      </c>
      <c r="D101" s="17">
        <v>0.13691677698837765</v>
      </c>
      <c r="E101" s="18">
        <v>1.3472610855656361E-2</v>
      </c>
      <c r="F101" s="18">
        <v>3.4010127403913008E-2</v>
      </c>
      <c r="G101" s="18">
        <v>6.1393482801588538E-2</v>
      </c>
      <c r="H101" s="18">
        <v>8.877683819926406E-2</v>
      </c>
      <c r="I101" s="18">
        <v>0.1161601935969396</v>
      </c>
      <c r="J101" s="18">
        <v>0.14354354899461513</v>
      </c>
    </row>
    <row r="102" spans="2:10" x14ac:dyDescent="0.3">
      <c r="B102" s="24"/>
      <c r="C102" s="28" t="s">
        <v>75</v>
      </c>
      <c r="D102" s="17">
        <v>7.275111101590255E-2</v>
      </c>
      <c r="E102" s="18">
        <v>7.1587093239648108E-3</v>
      </c>
      <c r="F102" s="18">
        <v>1.8071375976350196E-2</v>
      </c>
      <c r="G102" s="18">
        <v>3.2621598179530704E-2</v>
      </c>
      <c r="H102" s="18">
        <v>4.7171820382711213E-2</v>
      </c>
      <c r="I102" s="18">
        <v>6.1722042585891729E-2</v>
      </c>
      <c r="J102" s="18">
        <v>7.6272264789072231E-2</v>
      </c>
    </row>
    <row r="103" spans="2:10" x14ac:dyDescent="0.3">
      <c r="B103" s="24"/>
      <c r="C103" s="28" t="s">
        <v>76</v>
      </c>
      <c r="D103" s="17">
        <v>0.13927970805779433</v>
      </c>
      <c r="E103" s="18">
        <v>1.3705123272886963E-2</v>
      </c>
      <c r="F103" s="18">
        <v>3.459707948155611E-2</v>
      </c>
      <c r="G103" s="18">
        <v>6.2453021093114978E-2</v>
      </c>
      <c r="H103" s="18">
        <v>9.030896270467384E-2</v>
      </c>
      <c r="I103" s="18">
        <v>0.11816490431623271</v>
      </c>
      <c r="J103" s="18">
        <v>0.14602084592779158</v>
      </c>
    </row>
    <row r="104" spans="2:10" x14ac:dyDescent="0.3">
      <c r="B104" s="23" t="s">
        <v>58</v>
      </c>
      <c r="C104" s="28" t="s">
        <v>74</v>
      </c>
      <c r="D104" s="17">
        <v>0.48507421311323468</v>
      </c>
      <c r="E104" s="18">
        <v>4.7731302570342291E-2</v>
      </c>
      <c r="F104" s="18">
        <v>0.1204924345373275</v>
      </c>
      <c r="G104" s="18">
        <v>0.21750727715997445</v>
      </c>
      <c r="H104" s="18">
        <v>0.31452211978262135</v>
      </c>
      <c r="I104" s="18">
        <v>0.41153696240526833</v>
      </c>
      <c r="J104" s="18">
        <v>0.50855180502791519</v>
      </c>
    </row>
    <row r="105" spans="2:10" x14ac:dyDescent="0.3">
      <c r="B105" s="24"/>
      <c r="C105" s="28" t="s">
        <v>75</v>
      </c>
      <c r="D105" s="17">
        <v>0.47936680551762301</v>
      </c>
      <c r="E105" s="18">
        <v>4.7169693662934102E-2</v>
      </c>
      <c r="F105" s="18">
        <v>0.11907471449057756</v>
      </c>
      <c r="G105" s="18">
        <v>0.21494807559410217</v>
      </c>
      <c r="H105" s="18">
        <v>0.31082143669762674</v>
      </c>
      <c r="I105" s="18">
        <v>0.40669479780115136</v>
      </c>
      <c r="J105" s="18">
        <v>0.50256815890467599</v>
      </c>
    </row>
    <row r="106" spans="2:10" x14ac:dyDescent="0.3">
      <c r="B106" s="24"/>
      <c r="C106" s="28" t="s">
        <v>76</v>
      </c>
      <c r="D106" s="17">
        <v>0.48523516525966554</v>
      </c>
      <c r="E106" s="18">
        <v>4.7747140261551087E-2</v>
      </c>
      <c r="F106" s="18">
        <v>0.12053241505050093</v>
      </c>
      <c r="G106" s="18">
        <v>0.21757944810243404</v>
      </c>
      <c r="H106" s="18">
        <v>0.31462648115436714</v>
      </c>
      <c r="I106" s="18">
        <v>0.41167351420630027</v>
      </c>
      <c r="J106" s="18">
        <v>0.50872054725823335</v>
      </c>
    </row>
    <row r="107" spans="2:10" x14ac:dyDescent="0.3">
      <c r="B107" s="23" t="s">
        <v>60</v>
      </c>
      <c r="C107" s="28" t="s">
        <v>74</v>
      </c>
      <c r="D107" s="17">
        <v>1</v>
      </c>
      <c r="E107" s="18">
        <v>9.8400000000000001E-2</v>
      </c>
      <c r="F107" s="18">
        <v>0.24840000000000001</v>
      </c>
      <c r="G107" s="18">
        <v>0.44840000000000002</v>
      </c>
      <c r="H107" s="18">
        <v>0.64839999999999998</v>
      </c>
      <c r="I107" s="18">
        <v>0.84840000000000004</v>
      </c>
      <c r="J107" s="18">
        <v>1.0484</v>
      </c>
    </row>
    <row r="108" spans="2:10" x14ac:dyDescent="0.3">
      <c r="B108" s="24"/>
      <c r="C108" s="28" t="s">
        <v>75</v>
      </c>
      <c r="D108" s="17">
        <v>1</v>
      </c>
      <c r="E108" s="18">
        <v>9.8400000000000001E-2</v>
      </c>
      <c r="F108" s="18">
        <v>0.24840000000000001</v>
      </c>
      <c r="G108" s="18">
        <v>0.44840000000000002</v>
      </c>
      <c r="H108" s="18">
        <v>0.64839999999999998</v>
      </c>
      <c r="I108" s="18">
        <v>0.84840000000000004</v>
      </c>
      <c r="J108" s="18">
        <v>1.0484</v>
      </c>
    </row>
    <row r="109" spans="2:10" x14ac:dyDescent="0.3">
      <c r="B109" s="25"/>
      <c r="C109" s="28" t="s">
        <v>76</v>
      </c>
      <c r="D109" s="17">
        <v>1</v>
      </c>
      <c r="E109" s="18">
        <v>9.8400000000000001E-2</v>
      </c>
      <c r="F109" s="18">
        <v>0.24840000000000001</v>
      </c>
      <c r="G109" s="18">
        <v>0.44840000000000002</v>
      </c>
      <c r="H109" s="18">
        <v>0.64839999999999998</v>
      </c>
      <c r="I109" s="18">
        <v>0.84840000000000004</v>
      </c>
      <c r="J109" s="18">
        <v>1.0484</v>
      </c>
    </row>
  </sheetData>
  <mergeCells count="15">
    <mergeCell ref="E3:J3"/>
    <mergeCell ref="E40:J40"/>
    <mergeCell ref="E76:J76"/>
    <mergeCell ref="R7:R10"/>
    <mergeCell ref="S7:AE7"/>
    <mergeCell ref="S8:AC8"/>
    <mergeCell ref="S9:T9"/>
    <mergeCell ref="R15:R18"/>
    <mergeCell ref="S15:AE15"/>
    <mergeCell ref="U9:Z9"/>
    <mergeCell ref="AA9:AC9"/>
    <mergeCell ref="U17:Z17"/>
    <mergeCell ref="AA17:AC17"/>
    <mergeCell ref="S16:AC16"/>
    <mergeCell ref="S17:T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3C21-23BA-4F83-BF0B-E99262D25CCA}">
  <dimension ref="B2:AE109"/>
  <sheetViews>
    <sheetView topLeftCell="J1" workbookViewId="0">
      <selection activeCell="AE12" sqref="AE12"/>
    </sheetView>
  </sheetViews>
  <sheetFormatPr defaultRowHeight="14.4" x14ac:dyDescent="0.3"/>
  <cols>
    <col min="2" max="2" width="11.6640625" bestFit="1" customWidth="1"/>
    <col min="3" max="3" width="11.6640625" style="30" customWidth="1"/>
    <col min="4" max="4" width="8.88671875" style="30" hidden="1" customWidth="1"/>
    <col min="5" max="9" width="8.88671875" style="30"/>
    <col min="10" max="10" width="10.109375" style="30" bestFit="1" customWidth="1"/>
    <col min="16" max="16" width="12.6640625" bestFit="1" customWidth="1"/>
    <col min="19" max="20" width="10.33203125" style="1" customWidth="1"/>
    <col min="21" max="21" width="10.5546875" style="1" customWidth="1"/>
    <col min="22" max="22" width="9.6640625" style="1" customWidth="1"/>
    <col min="23" max="29" width="8.88671875" style="1"/>
    <col min="30" max="30" width="10" style="1" customWidth="1"/>
    <col min="31" max="31" width="8.88671875" style="1"/>
  </cols>
  <sheetData>
    <row r="2" spans="2:31" x14ac:dyDescent="0.3">
      <c r="B2" s="26" t="s">
        <v>82</v>
      </c>
    </row>
    <row r="3" spans="2:31" x14ac:dyDescent="0.3">
      <c r="B3" s="1"/>
      <c r="C3" s="32"/>
      <c r="E3" s="117" t="s">
        <v>0</v>
      </c>
      <c r="F3" s="117"/>
      <c r="G3" s="117"/>
      <c r="H3" s="117"/>
      <c r="I3" s="117"/>
      <c r="J3" s="117"/>
    </row>
    <row r="4" spans="2:31" ht="14.4" hidden="1" customHeight="1" x14ac:dyDescent="0.3">
      <c r="B4" s="1"/>
      <c r="C4" s="32"/>
      <c r="E4" s="79">
        <v>9.8400000000000001E-2</v>
      </c>
      <c r="F4" s="79">
        <v>0.24840000000000001</v>
      </c>
      <c r="G4" s="79">
        <v>0.44840000000000002</v>
      </c>
      <c r="H4" s="79">
        <v>0.64839999999999998</v>
      </c>
      <c r="I4" s="79">
        <v>0.84840000000000004</v>
      </c>
      <c r="J4" s="79">
        <v>1.0484</v>
      </c>
    </row>
    <row r="5" spans="2:31" ht="14.4" customHeight="1" x14ac:dyDescent="0.3">
      <c r="B5" s="1"/>
      <c r="C5" s="32"/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</row>
    <row r="6" spans="2:31" ht="28.8" x14ac:dyDescent="0.3">
      <c r="B6" s="21" t="s">
        <v>1</v>
      </c>
      <c r="C6" s="22" t="s">
        <v>73</v>
      </c>
      <c r="D6" s="5" t="s">
        <v>2</v>
      </c>
      <c r="E6" s="3" t="s">
        <v>91</v>
      </c>
      <c r="F6" s="3" t="s">
        <v>91</v>
      </c>
      <c r="G6" s="3" t="s">
        <v>91</v>
      </c>
      <c r="H6" s="3" t="s">
        <v>91</v>
      </c>
      <c r="I6" s="3" t="s">
        <v>91</v>
      </c>
      <c r="J6" s="3" t="s">
        <v>91</v>
      </c>
      <c r="L6" s="5" t="s">
        <v>9</v>
      </c>
      <c r="M6" s="3" t="s">
        <v>10</v>
      </c>
      <c r="O6" s="3" t="s">
        <v>0</v>
      </c>
      <c r="P6" s="3" t="s">
        <v>11</v>
      </c>
      <c r="R6" s="6" t="s">
        <v>12</v>
      </c>
      <c r="S6" s="7"/>
    </row>
    <row r="7" spans="2:31" x14ac:dyDescent="0.3">
      <c r="B7" s="23" t="s">
        <v>13</v>
      </c>
      <c r="C7" s="28" t="s">
        <v>74</v>
      </c>
      <c r="D7" s="80">
        <v>1.1962297629885266E-3</v>
      </c>
      <c r="E7" s="18">
        <v>1.1770900867807102E-4</v>
      </c>
      <c r="F7" s="18">
        <v>2.9714347312634999E-4</v>
      </c>
      <c r="G7" s="18">
        <v>5.3638942572405536E-4</v>
      </c>
      <c r="H7" s="18">
        <v>7.7563537832176063E-4</v>
      </c>
      <c r="I7" s="18">
        <v>1.0148813309194659E-3</v>
      </c>
      <c r="J7" s="18">
        <v>1.2541272835171712E-3</v>
      </c>
      <c r="L7" s="11" t="s">
        <v>14</v>
      </c>
      <c r="M7" s="12" t="s">
        <v>13</v>
      </c>
      <c r="O7" s="12" t="s">
        <v>15</v>
      </c>
      <c r="P7" s="12" t="s">
        <v>16</v>
      </c>
      <c r="R7" s="109" t="s">
        <v>17</v>
      </c>
      <c r="S7" s="112" t="s">
        <v>18</v>
      </c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</row>
    <row r="8" spans="2:31" x14ac:dyDescent="0.3">
      <c r="B8" s="24"/>
      <c r="C8" s="28" t="s">
        <v>75</v>
      </c>
      <c r="D8" s="81">
        <v>2.8307382094340426E-5</v>
      </c>
      <c r="E8" s="18">
        <v>2.7854463980830978E-6</v>
      </c>
      <c r="F8" s="18">
        <v>7.0315537122341618E-6</v>
      </c>
      <c r="G8" s="18">
        <v>1.2693030131102247E-5</v>
      </c>
      <c r="H8" s="18">
        <v>1.8354506549970332E-5</v>
      </c>
      <c r="I8" s="18">
        <v>2.4015982968838419E-5</v>
      </c>
      <c r="J8" s="18">
        <v>2.9677459387706502E-5</v>
      </c>
      <c r="L8" s="11" t="s">
        <v>20</v>
      </c>
      <c r="M8" s="12" t="s">
        <v>13</v>
      </c>
      <c r="O8" s="12" t="s">
        <v>21</v>
      </c>
      <c r="P8" s="12" t="s">
        <v>22</v>
      </c>
      <c r="R8" s="110"/>
      <c r="S8" s="113" t="s">
        <v>23</v>
      </c>
      <c r="T8" s="114"/>
      <c r="U8" s="114"/>
      <c r="V8" s="114"/>
      <c r="W8" s="114"/>
      <c r="X8" s="114"/>
      <c r="Y8" s="114"/>
      <c r="Z8" s="114"/>
      <c r="AA8" s="114"/>
      <c r="AB8" s="114"/>
      <c r="AC8" s="115"/>
      <c r="AD8" s="14"/>
      <c r="AE8" s="13"/>
    </row>
    <row r="9" spans="2:31" x14ac:dyDescent="0.3">
      <c r="B9" s="24"/>
      <c r="C9" s="28" t="s">
        <v>76</v>
      </c>
      <c r="D9" s="17">
        <v>1.1892758393247703E-3</v>
      </c>
      <c r="E9" s="18">
        <v>1.170247425895574E-4</v>
      </c>
      <c r="F9" s="18">
        <v>2.9541611848827296E-4</v>
      </c>
      <c r="G9" s="18">
        <v>5.3327128635322703E-4</v>
      </c>
      <c r="H9" s="18">
        <v>7.711264542181811E-4</v>
      </c>
      <c r="I9" s="18">
        <v>1.0089816220831352E-3</v>
      </c>
      <c r="J9" s="18">
        <v>1.2468367899480892E-3</v>
      </c>
      <c r="L9" s="11" t="s">
        <v>25</v>
      </c>
      <c r="M9" s="12" t="s">
        <v>13</v>
      </c>
      <c r="O9" s="12" t="s">
        <v>26</v>
      </c>
      <c r="P9" s="12" t="s">
        <v>27</v>
      </c>
      <c r="R9" s="110"/>
      <c r="S9" s="113" t="s">
        <v>10</v>
      </c>
      <c r="T9" s="115"/>
      <c r="U9" s="114" t="s">
        <v>28</v>
      </c>
      <c r="V9" s="114"/>
      <c r="W9" s="114"/>
      <c r="X9" s="114"/>
      <c r="Y9" s="114"/>
      <c r="Z9" s="115"/>
      <c r="AA9" s="113" t="s">
        <v>29</v>
      </c>
      <c r="AB9" s="114"/>
      <c r="AC9" s="115"/>
      <c r="AD9" s="13"/>
      <c r="AE9" s="13"/>
    </row>
    <row r="10" spans="2:31" s="32" customFormat="1" ht="28.8" x14ac:dyDescent="0.3">
      <c r="B10" s="27" t="s">
        <v>19</v>
      </c>
      <c r="C10" s="28" t="s">
        <v>74</v>
      </c>
      <c r="D10" s="29">
        <v>7.1950583249696561E-3</v>
      </c>
      <c r="E10" s="18">
        <v>7.0799373917701416E-4</v>
      </c>
      <c r="F10" s="18">
        <v>1.7872524879224627E-3</v>
      </c>
      <c r="G10" s="18">
        <v>3.2262641529163939E-3</v>
      </c>
      <c r="H10" s="18">
        <v>4.6652758179103245E-3</v>
      </c>
      <c r="I10" s="18">
        <v>6.1042874829042564E-3</v>
      </c>
      <c r="J10" s="18">
        <v>7.5432991478981875E-3</v>
      </c>
      <c r="L10" s="11" t="s">
        <v>31</v>
      </c>
      <c r="M10" s="12" t="s">
        <v>13</v>
      </c>
      <c r="O10" s="12" t="s">
        <v>32</v>
      </c>
      <c r="P10" s="12" t="s">
        <v>33</v>
      </c>
      <c r="R10" s="111"/>
      <c r="S10" s="19" t="s">
        <v>34</v>
      </c>
      <c r="T10" s="19" t="s">
        <v>0</v>
      </c>
      <c r="U10" s="19" t="s">
        <v>35</v>
      </c>
      <c r="V10" s="19" t="s">
        <v>36</v>
      </c>
      <c r="W10" s="19" t="s">
        <v>37</v>
      </c>
      <c r="X10" s="19" t="s">
        <v>38</v>
      </c>
      <c r="Y10" s="19" t="s">
        <v>39</v>
      </c>
      <c r="Z10" s="19" t="s">
        <v>40</v>
      </c>
      <c r="AA10" s="19" t="s">
        <v>41</v>
      </c>
      <c r="AB10" s="19" t="s">
        <v>42</v>
      </c>
      <c r="AC10" s="19" t="s">
        <v>43</v>
      </c>
      <c r="AD10" s="19" t="s">
        <v>44</v>
      </c>
      <c r="AE10" s="19" t="s">
        <v>45</v>
      </c>
    </row>
    <row r="11" spans="2:31" x14ac:dyDescent="0.3">
      <c r="B11" s="24"/>
      <c r="C11" s="28" t="s">
        <v>75</v>
      </c>
      <c r="D11" s="17">
        <v>4.7020538326150008E-4</v>
      </c>
      <c r="E11" s="18">
        <v>4.6268209712931609E-5</v>
      </c>
      <c r="F11" s="18">
        <v>1.1679901720215663E-4</v>
      </c>
      <c r="G11" s="18">
        <v>2.1084009385445666E-4</v>
      </c>
      <c r="H11" s="18">
        <v>3.0488117050675662E-4</v>
      </c>
      <c r="I11" s="18">
        <v>3.9892224715905669E-4</v>
      </c>
      <c r="J11" s="18">
        <v>4.9296332381135665E-4</v>
      </c>
      <c r="L11" s="11" t="s">
        <v>47</v>
      </c>
      <c r="M11" s="12" t="s">
        <v>13</v>
      </c>
      <c r="O11" s="12" t="s">
        <v>48</v>
      </c>
      <c r="P11" s="12" t="s">
        <v>49</v>
      </c>
      <c r="R11" s="15"/>
      <c r="S11" s="13"/>
      <c r="T11" s="13"/>
      <c r="U11" s="13" t="s">
        <v>103</v>
      </c>
      <c r="V11" s="13"/>
      <c r="W11" s="13"/>
      <c r="X11" s="13"/>
      <c r="Y11" s="13"/>
      <c r="Z11" s="13">
        <f>SUM(V11:Y11)</f>
        <v>0</v>
      </c>
      <c r="AA11" s="13"/>
      <c r="AB11" s="13"/>
      <c r="AC11" s="13">
        <f>SUM(AA11:AB11)</f>
        <v>0</v>
      </c>
      <c r="AD11" s="13">
        <f>SUM(Z11,AC11)</f>
        <v>0</v>
      </c>
      <c r="AE11" s="13">
        <f>AD11-SUM(V11:W11)</f>
        <v>0</v>
      </c>
    </row>
    <row r="12" spans="2:31" x14ac:dyDescent="0.3">
      <c r="B12" s="24"/>
      <c r="C12" s="28" t="s">
        <v>76</v>
      </c>
      <c r="D12" s="17">
        <v>7.171559240013373E-3</v>
      </c>
      <c r="E12" s="18">
        <v>7.0568142921731587E-4</v>
      </c>
      <c r="F12" s="18">
        <v>1.781415315219322E-3</v>
      </c>
      <c r="G12" s="18">
        <v>3.2157271632219965E-3</v>
      </c>
      <c r="H12" s="18">
        <v>4.6500390112246713E-3</v>
      </c>
      <c r="I12" s="18">
        <v>6.084350859227346E-3</v>
      </c>
      <c r="J12" s="18">
        <v>7.5186627072300199E-3</v>
      </c>
      <c r="L12" s="11" t="s">
        <v>51</v>
      </c>
      <c r="M12" s="12" t="s">
        <v>13</v>
      </c>
      <c r="O12" s="12" t="s">
        <v>52</v>
      </c>
      <c r="P12" s="20">
        <v>1</v>
      </c>
    </row>
    <row r="13" spans="2:31" x14ac:dyDescent="0.3">
      <c r="B13" s="23" t="s">
        <v>24</v>
      </c>
      <c r="C13" s="28" t="s">
        <v>74</v>
      </c>
      <c r="D13" s="17">
        <v>7.2877166206736753E-3</v>
      </c>
      <c r="E13" s="18">
        <v>7.1711131547428969E-4</v>
      </c>
      <c r="F13" s="18">
        <v>1.8102688085753411E-3</v>
      </c>
      <c r="G13" s="18">
        <v>3.2678121327100761E-3</v>
      </c>
      <c r="H13" s="18">
        <v>4.7253554568448108E-3</v>
      </c>
      <c r="I13" s="18">
        <v>6.1828987809795467E-3</v>
      </c>
      <c r="J13" s="18">
        <v>7.6404421051142809E-3</v>
      </c>
      <c r="L13" s="11" t="s">
        <v>54</v>
      </c>
      <c r="M13" s="12" t="s">
        <v>13</v>
      </c>
    </row>
    <row r="14" spans="2:31" x14ac:dyDescent="0.3">
      <c r="B14" s="24"/>
      <c r="C14" s="28" t="s">
        <v>75</v>
      </c>
      <c r="D14" s="17">
        <v>4.7975005522250748E-4</v>
      </c>
      <c r="E14" s="18">
        <v>4.720740543389474E-5</v>
      </c>
      <c r="F14" s="18">
        <v>1.1916991371727087E-4</v>
      </c>
      <c r="G14" s="18">
        <v>2.1511992476177236E-4</v>
      </c>
      <c r="H14" s="18">
        <v>3.1106993580627386E-4</v>
      </c>
      <c r="I14" s="18">
        <v>4.0701994685077536E-4</v>
      </c>
      <c r="J14" s="18">
        <v>5.029699578952768E-4</v>
      </c>
      <c r="L14" s="11" t="s">
        <v>56</v>
      </c>
      <c r="M14" s="12" t="s">
        <v>19</v>
      </c>
      <c r="R14" s="6" t="s">
        <v>57</v>
      </c>
      <c r="S14" s="7"/>
    </row>
    <row r="15" spans="2:31" x14ac:dyDescent="0.3">
      <c r="B15" s="24"/>
      <c r="C15" s="28" t="s">
        <v>76</v>
      </c>
      <c r="D15" s="17">
        <v>7.2640325206719059E-3</v>
      </c>
      <c r="E15" s="18">
        <v>7.147808000341156E-4</v>
      </c>
      <c r="F15" s="18">
        <v>1.8043856781349015E-3</v>
      </c>
      <c r="G15" s="18">
        <v>3.2571921822692829E-3</v>
      </c>
      <c r="H15" s="18">
        <v>4.7099986864036639E-3</v>
      </c>
      <c r="I15" s="18">
        <v>6.1628051905380449E-3</v>
      </c>
      <c r="J15" s="18">
        <v>7.6156116946724259E-3</v>
      </c>
      <c r="L15" s="11" t="s">
        <v>59</v>
      </c>
      <c r="M15" s="12" t="s">
        <v>19</v>
      </c>
      <c r="R15" s="109" t="s">
        <v>17</v>
      </c>
      <c r="S15" s="112" t="s">
        <v>18</v>
      </c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</row>
    <row r="16" spans="2:31" x14ac:dyDescent="0.3">
      <c r="B16" s="23" t="s">
        <v>30</v>
      </c>
      <c r="C16" s="28" t="s">
        <v>74</v>
      </c>
      <c r="D16" s="17">
        <v>1.3600041116891309E-2</v>
      </c>
      <c r="E16" s="18">
        <v>1.3382440459021048E-3</v>
      </c>
      <c r="F16" s="18">
        <v>3.3782502134358013E-3</v>
      </c>
      <c r="G16" s="18">
        <v>6.0982584368140637E-3</v>
      </c>
      <c r="H16" s="18">
        <v>8.8182666601923244E-3</v>
      </c>
      <c r="I16" s="18">
        <v>1.1538274883570588E-2</v>
      </c>
      <c r="J16" s="18">
        <v>1.4258283106948849E-2</v>
      </c>
      <c r="L16" s="11" t="s">
        <v>61</v>
      </c>
      <c r="M16" s="12" t="s">
        <v>24</v>
      </c>
      <c r="R16" s="110"/>
      <c r="S16" s="113" t="s">
        <v>23</v>
      </c>
      <c r="T16" s="114"/>
      <c r="U16" s="114"/>
      <c r="V16" s="114"/>
      <c r="W16" s="114"/>
      <c r="X16" s="114"/>
      <c r="Y16" s="114"/>
      <c r="Z16" s="114"/>
      <c r="AA16" s="114"/>
      <c r="AB16" s="114"/>
      <c r="AC16" s="115"/>
      <c r="AD16" s="14"/>
      <c r="AE16" s="13"/>
    </row>
    <row r="17" spans="2:31" x14ac:dyDescent="0.3">
      <c r="B17" s="24"/>
      <c r="C17" s="28" t="s">
        <v>75</v>
      </c>
      <c r="D17" s="17">
        <v>1.2808393643308452E-3</v>
      </c>
      <c r="E17" s="18">
        <v>1.2603459345015517E-4</v>
      </c>
      <c r="F17" s="18">
        <v>3.1816049809978196E-4</v>
      </c>
      <c r="G17" s="18">
        <v>5.7432837096595103E-4</v>
      </c>
      <c r="H17" s="18">
        <v>8.3049624383211998E-4</v>
      </c>
      <c r="I17" s="18">
        <v>1.086664116698289E-3</v>
      </c>
      <c r="J17" s="18">
        <v>1.3428319895644582E-3</v>
      </c>
      <c r="L17" s="11" t="s">
        <v>62</v>
      </c>
      <c r="M17" s="12" t="s">
        <v>24</v>
      </c>
      <c r="R17" s="110"/>
      <c r="S17" s="113" t="s">
        <v>10</v>
      </c>
      <c r="T17" s="115"/>
      <c r="U17" s="114" t="s">
        <v>28</v>
      </c>
      <c r="V17" s="114"/>
      <c r="W17" s="114"/>
      <c r="X17" s="114"/>
      <c r="Y17" s="114"/>
      <c r="Z17" s="115"/>
      <c r="AA17" s="113" t="s">
        <v>29</v>
      </c>
      <c r="AB17" s="114"/>
      <c r="AC17" s="115"/>
      <c r="AD17" s="13"/>
      <c r="AE17" s="13"/>
    </row>
    <row r="18" spans="2:31" s="30" customFormat="1" ht="28.8" x14ac:dyDescent="0.3">
      <c r="B18" s="31"/>
      <c r="C18" s="28" t="s">
        <v>76</v>
      </c>
      <c r="D18" s="17">
        <v>1.3566058934457385E-2</v>
      </c>
      <c r="E18" s="18">
        <v>1.3349001991506068E-3</v>
      </c>
      <c r="F18" s="18">
        <v>3.3698090393192146E-3</v>
      </c>
      <c r="G18" s="18">
        <v>6.0830208262106916E-3</v>
      </c>
      <c r="H18" s="18">
        <v>8.796232613102169E-3</v>
      </c>
      <c r="I18" s="18">
        <v>1.1509444399993646E-2</v>
      </c>
      <c r="J18" s="18">
        <v>1.4222656186885122E-2</v>
      </c>
      <c r="L18" s="11" t="s">
        <v>63</v>
      </c>
      <c r="M18" s="12" t="s">
        <v>30</v>
      </c>
      <c r="R18" s="111"/>
      <c r="S18" s="19" t="s">
        <v>34</v>
      </c>
      <c r="T18" s="19" t="s">
        <v>0</v>
      </c>
      <c r="U18" s="19" t="s">
        <v>35</v>
      </c>
      <c r="V18" s="19" t="s">
        <v>36</v>
      </c>
      <c r="W18" s="19" t="s">
        <v>37</v>
      </c>
      <c r="X18" s="19" t="s">
        <v>38</v>
      </c>
      <c r="Y18" s="19" t="s">
        <v>39</v>
      </c>
      <c r="Z18" s="19" t="s">
        <v>40</v>
      </c>
      <c r="AA18" s="19" t="s">
        <v>41</v>
      </c>
      <c r="AB18" s="19" t="s">
        <v>42</v>
      </c>
      <c r="AC18" s="19" t="s">
        <v>43</v>
      </c>
      <c r="AD18" s="19" t="s">
        <v>44</v>
      </c>
      <c r="AE18" s="19" t="s">
        <v>45</v>
      </c>
    </row>
    <row r="19" spans="2:31" x14ac:dyDescent="0.3">
      <c r="B19" s="23" t="s">
        <v>46</v>
      </c>
      <c r="C19" s="28" t="s">
        <v>74</v>
      </c>
      <c r="D19" s="17">
        <v>2.6090805257959416E-2</v>
      </c>
      <c r="E19" s="18">
        <v>2.5673352373832064E-3</v>
      </c>
      <c r="F19" s="18">
        <v>6.4809560260771192E-3</v>
      </c>
      <c r="G19" s="18">
        <v>1.1699117077669003E-2</v>
      </c>
      <c r="H19" s="18">
        <v>1.6917278129260884E-2</v>
      </c>
      <c r="I19" s="18">
        <v>2.213543918085277E-2</v>
      </c>
      <c r="J19" s="18">
        <v>2.7353600232444653E-2</v>
      </c>
      <c r="L19" s="11" t="s">
        <v>64</v>
      </c>
      <c r="M19" s="12" t="s">
        <v>46</v>
      </c>
      <c r="R19" s="15"/>
      <c r="S19" s="13"/>
      <c r="T19" s="13"/>
      <c r="U19" s="13"/>
      <c r="V19" s="13"/>
      <c r="W19" s="13"/>
      <c r="X19" s="13"/>
      <c r="Y19" s="13"/>
      <c r="Z19" s="13">
        <f>SUM(V19:Y19)</f>
        <v>0</v>
      </c>
      <c r="AA19" s="13"/>
      <c r="AB19" s="13"/>
      <c r="AC19" s="13">
        <f>SUM(AA19:AB19)</f>
        <v>0</v>
      </c>
      <c r="AD19" s="13">
        <f>SUM(Z19,AC19)</f>
        <v>0</v>
      </c>
      <c r="AE19" s="13">
        <f>AD19-SUM(V19:W19)</f>
        <v>0</v>
      </c>
    </row>
    <row r="20" spans="2:31" x14ac:dyDescent="0.3">
      <c r="B20" s="24"/>
      <c r="C20" s="28" t="s">
        <v>75</v>
      </c>
      <c r="D20" s="17">
        <v>3.5977780964019873E-3</v>
      </c>
      <c r="E20" s="18">
        <v>3.5402136468595558E-4</v>
      </c>
      <c r="F20" s="18">
        <v>8.9368807914625369E-4</v>
      </c>
      <c r="G20" s="18">
        <v>1.6132436984266512E-3</v>
      </c>
      <c r="H20" s="18">
        <v>2.3327993177070486E-3</v>
      </c>
      <c r="I20" s="18">
        <v>3.0523549369874461E-3</v>
      </c>
      <c r="J20" s="18">
        <v>3.7719105562678437E-3</v>
      </c>
      <c r="L20" s="11" t="s">
        <v>65</v>
      </c>
      <c r="M20" s="12" t="s">
        <v>50</v>
      </c>
    </row>
    <row r="21" spans="2:31" x14ac:dyDescent="0.3">
      <c r="B21" s="24"/>
      <c r="C21" s="28" t="s">
        <v>76</v>
      </c>
      <c r="D21" s="17">
        <v>2.6044080512324125E-2</v>
      </c>
      <c r="E21" s="18">
        <v>2.5627375224126941E-3</v>
      </c>
      <c r="F21" s="18">
        <v>6.4693495992613126E-3</v>
      </c>
      <c r="G21" s="18">
        <v>1.1678165701726138E-2</v>
      </c>
      <c r="H21" s="18">
        <v>1.6886981804190963E-2</v>
      </c>
      <c r="I21" s="18">
        <v>2.2095797906655789E-2</v>
      </c>
      <c r="J21" s="18">
        <v>2.7304614009120612E-2</v>
      </c>
      <c r="L21" s="11" t="s">
        <v>66</v>
      </c>
      <c r="M21" s="12" t="s">
        <v>53</v>
      </c>
    </row>
    <row r="22" spans="2:31" x14ac:dyDescent="0.3">
      <c r="B22" s="23" t="s">
        <v>50</v>
      </c>
      <c r="C22" s="28" t="s">
        <v>74</v>
      </c>
      <c r="D22" s="17">
        <v>5.0682768838634665E-2</v>
      </c>
      <c r="E22" s="18">
        <v>4.9871844537216509E-3</v>
      </c>
      <c r="F22" s="18">
        <v>1.2589599779516852E-2</v>
      </c>
      <c r="G22" s="18">
        <v>2.2726153547243784E-2</v>
      </c>
      <c r="H22" s="18">
        <v>3.2862707314970714E-2</v>
      </c>
      <c r="I22" s="18">
        <v>4.2999261082697651E-2</v>
      </c>
      <c r="J22" s="18">
        <v>5.3135814850424581E-2</v>
      </c>
      <c r="L22" s="11" t="s">
        <v>67</v>
      </c>
      <c r="M22" s="12" t="s">
        <v>55</v>
      </c>
    </row>
    <row r="23" spans="2:31" x14ac:dyDescent="0.3">
      <c r="B23" s="24"/>
      <c r="C23" s="28" t="s">
        <v>75</v>
      </c>
      <c r="D23" s="17">
        <v>1.0455644655144074E-2</v>
      </c>
      <c r="E23" s="18">
        <v>1.028835434066177E-3</v>
      </c>
      <c r="F23" s="18">
        <v>2.5971821323377883E-3</v>
      </c>
      <c r="G23" s="18">
        <v>4.6883110633666033E-3</v>
      </c>
      <c r="H23" s="18">
        <v>6.7794399943954175E-3</v>
      </c>
      <c r="I23" s="18">
        <v>8.8705689254242326E-3</v>
      </c>
      <c r="J23" s="18">
        <v>1.0961697856453047E-2</v>
      </c>
      <c r="L23" s="11" t="s">
        <v>68</v>
      </c>
      <c r="M23" s="12" t="s">
        <v>58</v>
      </c>
    </row>
    <row r="24" spans="2:31" x14ac:dyDescent="0.3">
      <c r="B24" s="24"/>
      <c r="C24" s="28" t="s">
        <v>76</v>
      </c>
      <c r="D24" s="17">
        <v>5.0624117865150878E-2</v>
      </c>
      <c r="E24" s="18">
        <v>4.9814131979308467E-3</v>
      </c>
      <c r="F24" s="18">
        <v>1.2575030877703479E-2</v>
      </c>
      <c r="G24" s="18">
        <v>2.2699854450733654E-2</v>
      </c>
      <c r="H24" s="18">
        <v>3.2824678023763827E-2</v>
      </c>
      <c r="I24" s="18">
        <v>4.2949501596794004E-2</v>
      </c>
      <c r="J24" s="18">
        <v>5.3074325169824181E-2</v>
      </c>
      <c r="L24" s="11" t="s">
        <v>69</v>
      </c>
      <c r="M24" s="12" t="s">
        <v>58</v>
      </c>
    </row>
    <row r="25" spans="2:31" x14ac:dyDescent="0.3">
      <c r="B25" s="23" t="s">
        <v>53</v>
      </c>
      <c r="C25" s="28" t="s">
        <v>74</v>
      </c>
      <c r="D25" s="17">
        <v>8.2565714783016442E-2</v>
      </c>
      <c r="E25" s="18">
        <v>8.1244663346488177E-3</v>
      </c>
      <c r="F25" s="18">
        <v>2.0509323552101284E-2</v>
      </c>
      <c r="G25" s="18">
        <v>3.7022466508704575E-2</v>
      </c>
      <c r="H25" s="18">
        <v>5.353560946530786E-2</v>
      </c>
      <c r="I25" s="18">
        <v>7.0048752421911151E-2</v>
      </c>
      <c r="J25" s="18">
        <v>8.6561895378514442E-2</v>
      </c>
      <c r="L25" s="11" t="s">
        <v>70</v>
      </c>
      <c r="M25" s="12" t="s">
        <v>58</v>
      </c>
    </row>
    <row r="26" spans="2:31" x14ac:dyDescent="0.3">
      <c r="B26" s="24"/>
      <c r="C26" s="28" t="s">
        <v>75</v>
      </c>
      <c r="D26" s="17">
        <v>2.325443763764156E-2</v>
      </c>
      <c r="E26" s="18">
        <v>2.2882366635439298E-3</v>
      </c>
      <c r="F26" s="18">
        <v>5.7764023091901638E-3</v>
      </c>
      <c r="G26" s="18">
        <v>1.0427289836718477E-2</v>
      </c>
      <c r="H26" s="18">
        <v>1.5078177364246787E-2</v>
      </c>
      <c r="I26" s="18">
        <v>1.9729064891775099E-2</v>
      </c>
      <c r="J26" s="18">
        <v>2.4379952419303411E-2</v>
      </c>
      <c r="L26" s="11" t="s">
        <v>71</v>
      </c>
      <c r="M26" s="12" t="s">
        <v>60</v>
      </c>
    </row>
    <row r="27" spans="2:31" x14ac:dyDescent="0.3">
      <c r="B27" s="24"/>
      <c r="C27" s="28" t="s">
        <v>76</v>
      </c>
      <c r="D27" s="17">
        <v>8.2503150486812532E-2</v>
      </c>
      <c r="E27" s="18">
        <v>8.1183100079023525E-3</v>
      </c>
      <c r="F27" s="18">
        <v>2.0493782580924234E-2</v>
      </c>
      <c r="G27" s="18">
        <v>3.6994412678286744E-2</v>
      </c>
      <c r="H27" s="18">
        <v>5.3495042775649246E-2</v>
      </c>
      <c r="I27" s="18">
        <v>6.9995672873011755E-2</v>
      </c>
      <c r="J27" s="18">
        <v>8.6496302970374264E-2</v>
      </c>
    </row>
    <row r="28" spans="2:31" x14ac:dyDescent="0.3">
      <c r="B28" s="23" t="s">
        <v>55</v>
      </c>
      <c r="C28" s="28" t="s">
        <v>74</v>
      </c>
      <c r="D28" s="17">
        <v>0.17074758626867037</v>
      </c>
      <c r="E28" s="18">
        <v>1.6801562488837164E-2</v>
      </c>
      <c r="F28" s="18">
        <v>4.2413700429137724E-2</v>
      </c>
      <c r="G28" s="18">
        <v>7.6563217682871804E-2</v>
      </c>
      <c r="H28" s="18">
        <v>0.11071273493660587</v>
      </c>
      <c r="I28" s="18">
        <v>0.14486225219033996</v>
      </c>
      <c r="J28" s="18">
        <v>0.17901176944407401</v>
      </c>
    </row>
    <row r="29" spans="2:31" x14ac:dyDescent="0.3">
      <c r="B29" s="24"/>
      <c r="C29" s="28" t="s">
        <v>75</v>
      </c>
      <c r="D29" s="17">
        <v>7.9322999527486615E-2</v>
      </c>
      <c r="E29" s="18">
        <v>7.8053831535046829E-3</v>
      </c>
      <c r="F29" s="18">
        <v>1.9703833082627676E-2</v>
      </c>
      <c r="G29" s="18">
        <v>3.5568432988125002E-2</v>
      </c>
      <c r="H29" s="18">
        <v>5.1433032893622319E-2</v>
      </c>
      <c r="I29" s="18">
        <v>6.7297632799119642E-2</v>
      </c>
      <c r="J29" s="18">
        <v>8.3162232704616965E-2</v>
      </c>
    </row>
    <row r="30" spans="2:31" x14ac:dyDescent="0.3">
      <c r="B30" s="24"/>
      <c r="C30" s="28" t="s">
        <v>76</v>
      </c>
      <c r="D30" s="17">
        <v>0.17069672308680148</v>
      </c>
      <c r="E30" s="18">
        <v>1.6796557551741264E-2</v>
      </c>
      <c r="F30" s="18">
        <v>4.2401066014761492E-2</v>
      </c>
      <c r="G30" s="18">
        <v>7.6540410632121789E-2</v>
      </c>
      <c r="H30" s="18">
        <v>0.11067975524948208</v>
      </c>
      <c r="I30" s="18">
        <v>0.14481909986684238</v>
      </c>
      <c r="J30" s="18">
        <v>0.17895844448420267</v>
      </c>
    </row>
    <row r="31" spans="2:31" x14ac:dyDescent="0.3">
      <c r="B31" s="23" t="s">
        <v>58</v>
      </c>
      <c r="C31" s="28" t="s">
        <v>74</v>
      </c>
      <c r="D31" s="17">
        <v>0.48717585243249195</v>
      </c>
      <c r="E31" s="18">
        <v>4.7938103879357208E-2</v>
      </c>
      <c r="F31" s="18">
        <v>0.121014481744231</v>
      </c>
      <c r="G31" s="18">
        <v>0.2184496522307294</v>
      </c>
      <c r="H31" s="18">
        <v>0.31588482271722779</v>
      </c>
      <c r="I31" s="18">
        <v>0.4133199932037262</v>
      </c>
      <c r="J31" s="18">
        <v>0.51075516369022456</v>
      </c>
    </row>
    <row r="32" spans="2:31" x14ac:dyDescent="0.3">
      <c r="B32" s="24"/>
      <c r="C32" s="28" t="s">
        <v>75</v>
      </c>
      <c r="D32" s="17">
        <v>0.48012114846785164</v>
      </c>
      <c r="E32" s="18">
        <v>4.7243921009236606E-2</v>
      </c>
      <c r="F32" s="18">
        <v>0.11926209327941435</v>
      </c>
      <c r="G32" s="18">
        <v>0.2152863229729847</v>
      </c>
      <c r="H32" s="18">
        <v>0.311310552666555</v>
      </c>
      <c r="I32" s="18">
        <v>0.40733478236012538</v>
      </c>
      <c r="J32" s="18">
        <v>0.50335901205369571</v>
      </c>
    </row>
    <row r="33" spans="2:11" x14ac:dyDescent="0.3">
      <c r="B33" s="24"/>
      <c r="C33" s="28" t="s">
        <v>76</v>
      </c>
      <c r="D33" s="17">
        <v>0.48717456244878499</v>
      </c>
      <c r="E33" s="18">
        <v>4.7937976944960443E-2</v>
      </c>
      <c r="F33" s="18">
        <v>0.1210141613122782</v>
      </c>
      <c r="G33" s="18">
        <v>0.21844907380203521</v>
      </c>
      <c r="H33" s="18">
        <v>0.31588398629179215</v>
      </c>
      <c r="I33" s="18">
        <v>0.4133188987815492</v>
      </c>
      <c r="J33" s="18">
        <v>0.51075381127130615</v>
      </c>
    </row>
    <row r="34" spans="2:11" x14ac:dyDescent="0.3">
      <c r="B34" s="23" t="s">
        <v>60</v>
      </c>
      <c r="C34" s="28" t="s">
        <v>74</v>
      </c>
      <c r="D34" s="17">
        <v>1</v>
      </c>
      <c r="E34" s="18">
        <v>9.8400000000000001E-2</v>
      </c>
      <c r="F34" s="18">
        <v>0.24840000000000001</v>
      </c>
      <c r="G34" s="18">
        <v>0.44840000000000002</v>
      </c>
      <c r="H34" s="18">
        <v>0.64839999999999998</v>
      </c>
      <c r="I34" s="18">
        <v>0.84840000000000004</v>
      </c>
      <c r="J34" s="18">
        <v>1.0484</v>
      </c>
    </row>
    <row r="35" spans="2:11" x14ac:dyDescent="0.3">
      <c r="B35" s="24"/>
      <c r="C35" s="28" t="s">
        <v>75</v>
      </c>
      <c r="D35" s="17">
        <v>1</v>
      </c>
      <c r="E35" s="18">
        <v>9.8400000000000001E-2</v>
      </c>
      <c r="F35" s="18">
        <v>0.24840000000000001</v>
      </c>
      <c r="G35" s="18">
        <v>0.44840000000000002</v>
      </c>
      <c r="H35" s="18">
        <v>0.64839999999999998</v>
      </c>
      <c r="I35" s="18">
        <v>0.84840000000000004</v>
      </c>
      <c r="J35" s="18">
        <v>1.0484</v>
      </c>
    </row>
    <row r="36" spans="2:11" x14ac:dyDescent="0.3">
      <c r="B36" s="25"/>
      <c r="C36" s="28" t="s">
        <v>76</v>
      </c>
      <c r="D36" s="17">
        <v>1</v>
      </c>
      <c r="E36" s="18">
        <v>9.8400000000000001E-2</v>
      </c>
      <c r="F36" s="18">
        <v>0.24840000000000001</v>
      </c>
      <c r="G36" s="18">
        <v>0.44840000000000002</v>
      </c>
      <c r="H36" s="18">
        <v>0.64839999999999998</v>
      </c>
      <c r="I36" s="18">
        <v>0.84840000000000004</v>
      </c>
      <c r="J36" s="18">
        <v>1.0484</v>
      </c>
    </row>
    <row r="39" spans="2:11" x14ac:dyDescent="0.3">
      <c r="B39" s="26" t="s">
        <v>83</v>
      </c>
    </row>
    <row r="40" spans="2:11" x14ac:dyDescent="0.3">
      <c r="B40" s="1"/>
      <c r="C40" s="32"/>
      <c r="E40" s="117" t="s">
        <v>0</v>
      </c>
      <c r="F40" s="117"/>
      <c r="G40" s="117"/>
      <c r="H40" s="117"/>
      <c r="I40" s="117"/>
      <c r="J40" s="117"/>
    </row>
    <row r="41" spans="2:11" ht="14.4" hidden="1" customHeight="1" x14ac:dyDescent="0.3">
      <c r="B41" s="1"/>
      <c r="C41" s="32"/>
      <c r="E41" s="79">
        <v>9.8400000000000001E-2</v>
      </c>
      <c r="F41" s="79">
        <v>0.24840000000000001</v>
      </c>
      <c r="G41" s="79">
        <v>0.44840000000000002</v>
      </c>
      <c r="H41" s="79">
        <v>0.64839999999999998</v>
      </c>
      <c r="I41" s="79">
        <v>0.84840000000000004</v>
      </c>
      <c r="J41" s="79">
        <v>1.0484</v>
      </c>
    </row>
    <row r="42" spans="2:11" ht="14.4" customHeight="1" x14ac:dyDescent="0.3">
      <c r="B42" s="1"/>
      <c r="C42" s="32"/>
      <c r="E42" s="3" t="s">
        <v>3</v>
      </c>
      <c r="F42" s="3" t="s">
        <v>4</v>
      </c>
      <c r="G42" s="3" t="s">
        <v>5</v>
      </c>
      <c r="H42" s="3" t="s">
        <v>6</v>
      </c>
      <c r="I42" s="3" t="s">
        <v>7</v>
      </c>
      <c r="J42" s="3" t="s">
        <v>8</v>
      </c>
    </row>
    <row r="43" spans="2:11" x14ac:dyDescent="0.3">
      <c r="B43" s="21" t="s">
        <v>1</v>
      </c>
      <c r="C43" s="22" t="s">
        <v>73</v>
      </c>
      <c r="D43" s="5" t="s">
        <v>2</v>
      </c>
      <c r="E43" s="3" t="s">
        <v>91</v>
      </c>
      <c r="F43" s="3" t="s">
        <v>91</v>
      </c>
      <c r="G43" s="3" t="s">
        <v>91</v>
      </c>
      <c r="H43" s="3" t="s">
        <v>91</v>
      </c>
      <c r="I43" s="3" t="s">
        <v>91</v>
      </c>
      <c r="J43" s="3" t="s">
        <v>91</v>
      </c>
    </row>
    <row r="44" spans="2:11" x14ac:dyDescent="0.3">
      <c r="B44" s="23" t="s">
        <v>13</v>
      </c>
      <c r="C44" s="28" t="s">
        <v>74</v>
      </c>
      <c r="D44" s="80">
        <v>1.4141495857771546E-3</v>
      </c>
      <c r="E44" s="18">
        <v>1.3915231924047203E-4</v>
      </c>
      <c r="F44" s="18">
        <v>3.5127475710704524E-4</v>
      </c>
      <c r="G44" s="18">
        <v>6.3410467426247617E-4</v>
      </c>
      <c r="H44" s="18">
        <v>9.1693459141790705E-4</v>
      </c>
      <c r="I44" s="18">
        <v>1.199764508573338E-3</v>
      </c>
      <c r="J44" s="82">
        <v>1.4825944257287689E-3</v>
      </c>
      <c r="K44" s="60"/>
    </row>
    <row r="45" spans="2:11" x14ac:dyDescent="0.3">
      <c r="B45" s="24"/>
      <c r="C45" s="28" t="s">
        <v>75</v>
      </c>
      <c r="D45" s="81">
        <v>5.2124617400082967E-5</v>
      </c>
      <c r="E45" s="18">
        <v>5.1290623521681644E-6</v>
      </c>
      <c r="F45" s="18">
        <v>1.2947754962180609E-5</v>
      </c>
      <c r="G45" s="18">
        <v>2.3372678442197203E-5</v>
      </c>
      <c r="H45" s="18">
        <v>3.3797601922213795E-5</v>
      </c>
      <c r="I45" s="18">
        <v>4.4222525402230394E-5</v>
      </c>
      <c r="J45" s="18">
        <v>5.4647448882246986E-5</v>
      </c>
    </row>
    <row r="46" spans="2:11" x14ac:dyDescent="0.3">
      <c r="B46" s="24"/>
      <c r="C46" s="28" t="s">
        <v>76</v>
      </c>
      <c r="D46" s="17">
        <v>1.3951089562070289E-3</v>
      </c>
      <c r="E46" s="18">
        <v>1.3727872129077164E-4</v>
      </c>
      <c r="F46" s="18">
        <v>3.4654506472182596E-4</v>
      </c>
      <c r="G46" s="18">
        <v>6.2556685596323175E-4</v>
      </c>
      <c r="H46" s="18">
        <v>9.0458864720463744E-4</v>
      </c>
      <c r="I46" s="18">
        <v>1.1836104384460434E-3</v>
      </c>
      <c r="J46" s="18">
        <v>1.4626322296874491E-3</v>
      </c>
    </row>
    <row r="47" spans="2:11" x14ac:dyDescent="0.3">
      <c r="B47" s="23" t="s">
        <v>19</v>
      </c>
      <c r="C47" s="28" t="s">
        <v>74</v>
      </c>
      <c r="D47" s="29">
        <v>8.192214000121838E-3</v>
      </c>
      <c r="E47" s="18">
        <v>8.0611385761198892E-4</v>
      </c>
      <c r="F47" s="18">
        <v>2.0349459576302648E-3</v>
      </c>
      <c r="G47" s="18">
        <v>3.6733887576546323E-3</v>
      </c>
      <c r="H47" s="18">
        <v>5.3118315576789997E-3</v>
      </c>
      <c r="I47" s="18">
        <v>6.950274357703368E-3</v>
      </c>
      <c r="J47" s="18">
        <v>8.5887171577277346E-3</v>
      </c>
    </row>
    <row r="48" spans="2:11" x14ac:dyDescent="0.3">
      <c r="B48" s="24"/>
      <c r="C48" s="28" t="s">
        <v>75</v>
      </c>
      <c r="D48" s="17">
        <v>7.3665435871166063E-4</v>
      </c>
      <c r="E48" s="18">
        <v>7.2486788897227407E-5</v>
      </c>
      <c r="F48" s="18">
        <v>1.8298494270397651E-4</v>
      </c>
      <c r="G48" s="18">
        <v>3.3031581444630865E-4</v>
      </c>
      <c r="H48" s="18">
        <v>4.7764668618864071E-4</v>
      </c>
      <c r="I48" s="18">
        <v>6.2497755793097288E-4</v>
      </c>
      <c r="J48" s="18">
        <v>7.7230842967330505E-4</v>
      </c>
    </row>
    <row r="49" spans="2:10" x14ac:dyDescent="0.3">
      <c r="B49" s="24"/>
      <c r="C49" s="28" t="s">
        <v>76</v>
      </c>
      <c r="D49" s="17">
        <v>8.1119196057370425E-3</v>
      </c>
      <c r="E49" s="18">
        <v>7.9821288920452497E-4</v>
      </c>
      <c r="F49" s="18">
        <v>2.0150008300650816E-3</v>
      </c>
      <c r="G49" s="18">
        <v>3.6373847512124902E-3</v>
      </c>
      <c r="H49" s="18">
        <v>5.2597686723598984E-3</v>
      </c>
      <c r="I49" s="18">
        <v>6.8821525935073074E-3</v>
      </c>
      <c r="J49" s="18">
        <v>8.5045365146547147E-3</v>
      </c>
    </row>
    <row r="50" spans="2:10" x14ac:dyDescent="0.3">
      <c r="B50" s="23" t="s">
        <v>24</v>
      </c>
      <c r="C50" s="28" t="s">
        <v>74</v>
      </c>
      <c r="D50" s="17">
        <v>8.2952831982414967E-3</v>
      </c>
      <c r="E50" s="18">
        <v>8.1625586670696325E-4</v>
      </c>
      <c r="F50" s="18">
        <v>2.0605483464431877E-3</v>
      </c>
      <c r="G50" s="18">
        <v>3.7196049860914872E-3</v>
      </c>
      <c r="H50" s="18">
        <v>5.3786616257397862E-3</v>
      </c>
      <c r="I50" s="18">
        <v>7.0377182653880857E-3</v>
      </c>
      <c r="J50" s="18">
        <v>8.6967749050363852E-3</v>
      </c>
    </row>
    <row r="51" spans="2:10" x14ac:dyDescent="0.3">
      <c r="B51" s="24"/>
      <c r="C51" s="28" t="s">
        <v>75</v>
      </c>
      <c r="D51" s="17">
        <v>7.507323485778126E-4</v>
      </c>
      <c r="E51" s="18">
        <v>7.3872063100056755E-5</v>
      </c>
      <c r="F51" s="18">
        <v>1.8648191538672866E-4</v>
      </c>
      <c r="G51" s="18">
        <v>3.3662838510229121E-4</v>
      </c>
      <c r="H51" s="18">
        <v>4.8677485481785369E-4</v>
      </c>
      <c r="I51" s="18">
        <v>6.3692132453341624E-4</v>
      </c>
      <c r="J51" s="18">
        <v>7.8706779424897878E-4</v>
      </c>
    </row>
    <row r="52" spans="2:10" x14ac:dyDescent="0.3">
      <c r="B52" s="24"/>
      <c r="C52" s="28" t="s">
        <v>76</v>
      </c>
      <c r="D52" s="17">
        <v>8.2141993222983063E-3</v>
      </c>
      <c r="E52" s="18">
        <v>8.0827721331415338E-4</v>
      </c>
      <c r="F52" s="18">
        <v>2.0404071116588993E-3</v>
      </c>
      <c r="G52" s="18">
        <v>3.6832469761185608E-3</v>
      </c>
      <c r="H52" s="18">
        <v>5.3260868405782215E-3</v>
      </c>
      <c r="I52" s="18">
        <v>6.9689267050378834E-3</v>
      </c>
      <c r="J52" s="18">
        <v>8.6117665694975445E-3</v>
      </c>
    </row>
    <row r="53" spans="2:10" x14ac:dyDescent="0.3">
      <c r="B53" s="23" t="s">
        <v>30</v>
      </c>
      <c r="C53" s="28" t="s">
        <v>74</v>
      </c>
      <c r="D53" s="17">
        <v>1.5252833286062292E-2</v>
      </c>
      <c r="E53" s="18">
        <v>1.5008787953485296E-3</v>
      </c>
      <c r="F53" s="18">
        <v>3.7888037882578733E-3</v>
      </c>
      <c r="G53" s="18">
        <v>6.8393704454703325E-3</v>
      </c>
      <c r="H53" s="18">
        <v>9.8899371026827908E-3</v>
      </c>
      <c r="I53" s="18">
        <v>1.294050375989525E-2</v>
      </c>
      <c r="J53" s="18">
        <v>1.5991070417107706E-2</v>
      </c>
    </row>
    <row r="54" spans="2:10" x14ac:dyDescent="0.3">
      <c r="B54" s="24"/>
      <c r="C54" s="28" t="s">
        <v>75</v>
      </c>
      <c r="D54" s="17">
        <v>1.8928853955672593E-3</v>
      </c>
      <c r="E54" s="18">
        <v>1.8625992292381832E-4</v>
      </c>
      <c r="F54" s="18">
        <v>4.7019273225890724E-4</v>
      </c>
      <c r="G54" s="18">
        <v>8.4876981137235914E-4</v>
      </c>
      <c r="H54" s="18">
        <v>1.2273468904858108E-3</v>
      </c>
      <c r="I54" s="18">
        <v>1.6059239695992628E-3</v>
      </c>
      <c r="J54" s="18">
        <v>1.9845010487127145E-3</v>
      </c>
    </row>
    <row r="55" spans="2:10" x14ac:dyDescent="0.3">
      <c r="B55" s="24"/>
      <c r="C55" s="28" t="s">
        <v>76</v>
      </c>
      <c r="D55" s="17">
        <v>1.5123745119548242E-2</v>
      </c>
      <c r="E55" s="18">
        <v>1.488176519763547E-3</v>
      </c>
      <c r="F55" s="18">
        <v>3.7567382876957833E-3</v>
      </c>
      <c r="G55" s="18">
        <v>6.7814873116054317E-3</v>
      </c>
      <c r="H55" s="18">
        <v>9.8062363355150804E-3</v>
      </c>
      <c r="I55" s="18">
        <v>1.2830985359424729E-2</v>
      </c>
      <c r="J55" s="18">
        <v>1.5855734383334378E-2</v>
      </c>
    </row>
    <row r="56" spans="2:10" x14ac:dyDescent="0.3">
      <c r="B56" s="23" t="s">
        <v>46</v>
      </c>
      <c r="C56" s="28" t="s">
        <v>74</v>
      </c>
      <c r="D56" s="17">
        <v>2.8776525653936284E-2</v>
      </c>
      <c r="E56" s="18">
        <v>2.8316101243473302E-3</v>
      </c>
      <c r="F56" s="18">
        <v>7.148088972437773E-3</v>
      </c>
      <c r="G56" s="18">
        <v>1.2903394103225031E-2</v>
      </c>
      <c r="H56" s="18">
        <v>1.8658699234012286E-2</v>
      </c>
      <c r="I56" s="18">
        <v>2.4414004364799544E-2</v>
      </c>
      <c r="J56" s="18">
        <v>3.0169309495586799E-2</v>
      </c>
    </row>
    <row r="57" spans="2:10" x14ac:dyDescent="0.3">
      <c r="B57" s="24"/>
      <c r="C57" s="28" t="s">
        <v>75</v>
      </c>
      <c r="D57" s="17">
        <v>5.0027164628317095E-3</v>
      </c>
      <c r="E57" s="18">
        <v>4.9226729994264018E-4</v>
      </c>
      <c r="F57" s="18">
        <v>1.2426747693673966E-3</v>
      </c>
      <c r="G57" s="18">
        <v>2.2432180619337385E-3</v>
      </c>
      <c r="H57" s="18">
        <v>3.2437613545000803E-3</v>
      </c>
      <c r="I57" s="18">
        <v>4.244304647066423E-3</v>
      </c>
      <c r="J57" s="18">
        <v>5.2448479396327644E-3</v>
      </c>
    </row>
    <row r="58" spans="2:10" x14ac:dyDescent="0.3">
      <c r="B58" s="24"/>
      <c r="C58" s="28" t="s">
        <v>76</v>
      </c>
      <c r="D58" s="17">
        <v>2.8573523497704624E-2</v>
      </c>
      <c r="E58" s="18">
        <v>2.8116347121741351E-3</v>
      </c>
      <c r="F58" s="18">
        <v>7.0976632368298289E-3</v>
      </c>
      <c r="G58" s="18">
        <v>1.2812367936370753E-2</v>
      </c>
      <c r="H58" s="18">
        <v>1.8527072635911676E-2</v>
      </c>
      <c r="I58" s="18">
        <v>2.4241777335452606E-2</v>
      </c>
      <c r="J58" s="18">
        <v>2.9956482034993528E-2</v>
      </c>
    </row>
    <row r="59" spans="2:10" x14ac:dyDescent="0.3">
      <c r="B59" s="23" t="s">
        <v>50</v>
      </c>
      <c r="C59" s="28" t="s">
        <v>74</v>
      </c>
      <c r="D59" s="17">
        <v>5.4863773040888401E-2</v>
      </c>
      <c r="E59" s="18">
        <v>5.3985952672234187E-3</v>
      </c>
      <c r="F59" s="18">
        <v>1.362816122335668E-2</v>
      </c>
      <c r="G59" s="18">
        <v>2.460091583153436E-2</v>
      </c>
      <c r="H59" s="18">
        <v>3.5573670439712039E-2</v>
      </c>
      <c r="I59" s="18">
        <v>4.6546425047889722E-2</v>
      </c>
      <c r="J59" s="18">
        <v>5.7519179656067398E-2</v>
      </c>
    </row>
    <row r="60" spans="2:10" x14ac:dyDescent="0.3">
      <c r="B60" s="24"/>
      <c r="C60" s="28" t="s">
        <v>75</v>
      </c>
      <c r="D60" s="17">
        <v>1.3631437030710734E-2</v>
      </c>
      <c r="E60" s="18">
        <v>1.3413334038219363E-3</v>
      </c>
      <c r="F60" s="18">
        <v>3.3860489584285466E-3</v>
      </c>
      <c r="G60" s="18">
        <v>6.1123363645706934E-3</v>
      </c>
      <c r="H60" s="18">
        <v>8.8386237707128393E-3</v>
      </c>
      <c r="I60" s="18">
        <v>1.1564911176854988E-2</v>
      </c>
      <c r="J60" s="18">
        <v>1.4291198582997133E-2</v>
      </c>
    </row>
    <row r="61" spans="2:10" x14ac:dyDescent="0.3">
      <c r="B61" s="24"/>
      <c r="C61" s="28" t="s">
        <v>76</v>
      </c>
      <c r="D61" s="17">
        <v>5.4558808039540121E-2</v>
      </c>
      <c r="E61" s="18">
        <v>5.3685867110907478E-3</v>
      </c>
      <c r="F61" s="18">
        <v>1.3552407917021767E-2</v>
      </c>
      <c r="G61" s="18">
        <v>2.4464169524929791E-2</v>
      </c>
      <c r="H61" s="18">
        <v>3.5375931132837816E-2</v>
      </c>
      <c r="I61" s="18">
        <v>4.6287692740745838E-2</v>
      </c>
      <c r="J61" s="18">
        <v>5.7199454348653866E-2</v>
      </c>
    </row>
    <row r="62" spans="2:10" x14ac:dyDescent="0.3">
      <c r="B62" s="23" t="s">
        <v>53</v>
      </c>
      <c r="C62" s="28" t="s">
        <v>74</v>
      </c>
      <c r="D62" s="17">
        <v>8.8037437751727191E-2</v>
      </c>
      <c r="E62" s="18">
        <v>8.6628838747699558E-3</v>
      </c>
      <c r="F62" s="18">
        <v>2.1868499537529035E-2</v>
      </c>
      <c r="G62" s="18">
        <v>3.9475987087874476E-2</v>
      </c>
      <c r="H62" s="18">
        <v>5.708347463821991E-2</v>
      </c>
      <c r="I62" s="18">
        <v>7.4690962188565357E-2</v>
      </c>
      <c r="J62" s="18">
        <v>9.2298449738910784E-2</v>
      </c>
    </row>
    <row r="63" spans="2:10" x14ac:dyDescent="0.3">
      <c r="B63" s="24"/>
      <c r="C63" s="28" t="s">
        <v>75</v>
      </c>
      <c r="D63" s="17">
        <v>2.8837126398363951E-2</v>
      </c>
      <c r="E63" s="18">
        <v>2.8375732375990129E-3</v>
      </c>
      <c r="F63" s="18">
        <v>7.1631421973536056E-3</v>
      </c>
      <c r="G63" s="18">
        <v>1.2930567477026396E-2</v>
      </c>
      <c r="H63" s="18">
        <v>1.8697992756699186E-2</v>
      </c>
      <c r="I63" s="18">
        <v>2.4465418036371978E-2</v>
      </c>
      <c r="J63" s="18">
        <v>3.0232843316044766E-2</v>
      </c>
    </row>
    <row r="64" spans="2:10" x14ac:dyDescent="0.3">
      <c r="B64" s="24"/>
      <c r="C64" s="28" t="s">
        <v>76</v>
      </c>
      <c r="D64" s="17">
        <v>8.7649312488536663E-2</v>
      </c>
      <c r="E64" s="18">
        <v>8.6246923488720074E-3</v>
      </c>
      <c r="F64" s="18">
        <v>2.1772089222152506E-2</v>
      </c>
      <c r="G64" s="18">
        <v>3.930195171985984E-2</v>
      </c>
      <c r="H64" s="18">
        <v>5.6831814217567167E-2</v>
      </c>
      <c r="I64" s="18">
        <v>7.4361676715274508E-2</v>
      </c>
      <c r="J64" s="18">
        <v>9.1891539212981835E-2</v>
      </c>
    </row>
    <row r="65" spans="2:10" x14ac:dyDescent="0.3">
      <c r="B65" s="23" t="s">
        <v>55</v>
      </c>
      <c r="C65" s="28" t="s">
        <v>74</v>
      </c>
      <c r="D65" s="17">
        <v>0.17757362301073104</v>
      </c>
      <c r="E65" s="18">
        <v>1.7473244504255935E-2</v>
      </c>
      <c r="F65" s="18">
        <v>4.4109287955865592E-2</v>
      </c>
      <c r="G65" s="18">
        <v>7.9624012558011797E-2</v>
      </c>
      <c r="H65" s="18">
        <v>0.115138737160158</v>
      </c>
      <c r="I65" s="18">
        <v>0.15065346176230424</v>
      </c>
      <c r="J65" s="18">
        <v>0.18616818636445043</v>
      </c>
    </row>
    <row r="66" spans="2:10" x14ac:dyDescent="0.3">
      <c r="B66" s="24"/>
      <c r="C66" s="28" t="s">
        <v>75</v>
      </c>
      <c r="D66" s="17">
        <v>9.0604983158146413E-2</v>
      </c>
      <c r="E66" s="18">
        <v>8.9155303427616069E-3</v>
      </c>
      <c r="F66" s="18">
        <v>2.250627781648357E-2</v>
      </c>
      <c r="G66" s="18">
        <v>4.062727444811285E-2</v>
      </c>
      <c r="H66" s="18">
        <v>5.8748271079742134E-2</v>
      </c>
      <c r="I66" s="18">
        <v>7.6869267711371425E-2</v>
      </c>
      <c r="J66" s="18">
        <v>9.4990264343000702E-2</v>
      </c>
    </row>
    <row r="67" spans="2:10" x14ac:dyDescent="0.3">
      <c r="B67" s="24"/>
      <c r="C67" s="28" t="s">
        <v>76</v>
      </c>
      <c r="D67" s="17">
        <v>0.17711010136426372</v>
      </c>
      <c r="E67" s="18">
        <v>1.7427633974243552E-2</v>
      </c>
      <c r="F67" s="18">
        <v>4.3994149178883113E-2</v>
      </c>
      <c r="G67" s="18">
        <v>7.9416169451735852E-2</v>
      </c>
      <c r="H67" s="18">
        <v>0.11483818972458859</v>
      </c>
      <c r="I67" s="18">
        <v>0.15026020999744136</v>
      </c>
      <c r="J67" s="18">
        <v>0.1856822302702941</v>
      </c>
    </row>
    <row r="68" spans="2:10" x14ac:dyDescent="0.3">
      <c r="B68" s="23" t="s">
        <v>58</v>
      </c>
      <c r="C68" s="28" t="s">
        <v>74</v>
      </c>
      <c r="D68" s="17">
        <v>0.48757343920602481</v>
      </c>
      <c r="E68" s="18">
        <v>4.7977226417872838E-2</v>
      </c>
      <c r="F68" s="18">
        <v>0.12111324229877657</v>
      </c>
      <c r="G68" s="18">
        <v>0.21862793013998152</v>
      </c>
      <c r="H68" s="18">
        <v>0.31614261798118648</v>
      </c>
      <c r="I68" s="18">
        <v>0.41365730582239146</v>
      </c>
      <c r="J68" s="18">
        <v>0.51117199366359645</v>
      </c>
    </row>
    <row r="69" spans="2:10" x14ac:dyDescent="0.3">
      <c r="B69" s="24"/>
      <c r="C69" s="28" t="s">
        <v>75</v>
      </c>
      <c r="D69" s="17">
        <v>0.4813033740700457</v>
      </c>
      <c r="E69" s="18">
        <v>4.7360252008492497E-2</v>
      </c>
      <c r="F69" s="18">
        <v>0.11955575811899935</v>
      </c>
      <c r="G69" s="18">
        <v>0.21581643293300851</v>
      </c>
      <c r="H69" s="18">
        <v>0.31207710774701763</v>
      </c>
      <c r="I69" s="18">
        <v>0.40833778256102676</v>
      </c>
      <c r="J69" s="18">
        <v>0.50459845737503595</v>
      </c>
    </row>
    <row r="70" spans="2:10" x14ac:dyDescent="0.3">
      <c r="B70" s="24"/>
      <c r="C70" s="28" t="s">
        <v>76</v>
      </c>
      <c r="D70" s="17">
        <v>0.48754768008198346</v>
      </c>
      <c r="E70" s="18">
        <v>4.7974691720067172E-2</v>
      </c>
      <c r="F70" s="18">
        <v>0.1211068437323647</v>
      </c>
      <c r="G70" s="18">
        <v>0.21861637974876139</v>
      </c>
      <c r="H70" s="18">
        <v>0.31612591576515808</v>
      </c>
      <c r="I70" s="18">
        <v>0.41363545178155481</v>
      </c>
      <c r="J70" s="18">
        <v>0.51114498779795148</v>
      </c>
    </row>
    <row r="71" spans="2:10" x14ac:dyDescent="0.3">
      <c r="B71" s="23" t="s">
        <v>60</v>
      </c>
      <c r="C71" s="28" t="s">
        <v>74</v>
      </c>
      <c r="D71" s="17">
        <v>1</v>
      </c>
      <c r="E71" s="18">
        <v>9.8400000000000001E-2</v>
      </c>
      <c r="F71" s="18">
        <v>0.24840000000000001</v>
      </c>
      <c r="G71" s="18">
        <v>0.44840000000000002</v>
      </c>
      <c r="H71" s="18">
        <v>0.64839999999999998</v>
      </c>
      <c r="I71" s="18">
        <v>0.84840000000000004</v>
      </c>
      <c r="J71" s="18">
        <v>1.0484</v>
      </c>
    </row>
    <row r="72" spans="2:10" x14ac:dyDescent="0.3">
      <c r="B72" s="24"/>
      <c r="C72" s="28" t="s">
        <v>75</v>
      </c>
      <c r="D72" s="17">
        <v>1</v>
      </c>
      <c r="E72" s="18">
        <v>9.8400000000000001E-2</v>
      </c>
      <c r="F72" s="18">
        <v>0.24840000000000001</v>
      </c>
      <c r="G72" s="18">
        <v>0.44840000000000002</v>
      </c>
      <c r="H72" s="18">
        <v>0.64839999999999998</v>
      </c>
      <c r="I72" s="18">
        <v>0.84840000000000004</v>
      </c>
      <c r="J72" s="18">
        <v>1.0484</v>
      </c>
    </row>
    <row r="73" spans="2:10" x14ac:dyDescent="0.3">
      <c r="B73" s="25"/>
      <c r="C73" s="28" t="s">
        <v>76</v>
      </c>
      <c r="D73" s="17">
        <v>1</v>
      </c>
      <c r="E73" s="18">
        <v>9.8400000000000001E-2</v>
      </c>
      <c r="F73" s="18">
        <v>0.24840000000000001</v>
      </c>
      <c r="G73" s="18">
        <v>0.44840000000000002</v>
      </c>
      <c r="H73" s="18">
        <v>0.64839999999999998</v>
      </c>
      <c r="I73" s="18">
        <v>0.84840000000000004</v>
      </c>
      <c r="J73" s="18">
        <v>1.0484</v>
      </c>
    </row>
    <row r="75" spans="2:10" x14ac:dyDescent="0.3">
      <c r="B75" s="26" t="s">
        <v>84</v>
      </c>
    </row>
    <row r="76" spans="2:10" x14ac:dyDescent="0.3">
      <c r="B76" s="1"/>
      <c r="C76" s="32"/>
      <c r="E76" s="117" t="s">
        <v>0</v>
      </c>
      <c r="F76" s="117"/>
      <c r="G76" s="117"/>
      <c r="H76" s="117"/>
      <c r="I76" s="117"/>
      <c r="J76" s="117"/>
    </row>
    <row r="77" spans="2:10" ht="14.4" hidden="1" customHeight="1" x14ac:dyDescent="0.3">
      <c r="B77" s="1"/>
      <c r="C77" s="32"/>
      <c r="E77" s="79">
        <v>9.8400000000000001E-2</v>
      </c>
      <c r="F77" s="79">
        <v>0.24840000000000001</v>
      </c>
      <c r="G77" s="79">
        <v>0.44840000000000002</v>
      </c>
      <c r="H77" s="79">
        <v>0.64839999999999998</v>
      </c>
      <c r="I77" s="79">
        <v>0.84840000000000004</v>
      </c>
      <c r="J77" s="79">
        <v>1.0484</v>
      </c>
    </row>
    <row r="78" spans="2:10" ht="14.4" customHeight="1" x14ac:dyDescent="0.3">
      <c r="B78" s="1"/>
      <c r="C78" s="32"/>
      <c r="E78" s="3" t="s">
        <v>3</v>
      </c>
      <c r="F78" s="3" t="s">
        <v>4</v>
      </c>
      <c r="G78" s="3" t="s">
        <v>5</v>
      </c>
      <c r="H78" s="3" t="s">
        <v>6</v>
      </c>
      <c r="I78" s="3" t="s">
        <v>7</v>
      </c>
      <c r="J78" s="3" t="s">
        <v>8</v>
      </c>
    </row>
    <row r="79" spans="2:10" x14ac:dyDescent="0.3">
      <c r="B79" s="21" t="s">
        <v>1</v>
      </c>
      <c r="C79" s="22" t="s">
        <v>73</v>
      </c>
      <c r="D79" s="5" t="s">
        <v>2</v>
      </c>
      <c r="E79" s="3" t="s">
        <v>91</v>
      </c>
      <c r="F79" s="3" t="s">
        <v>91</v>
      </c>
      <c r="G79" s="3" t="s">
        <v>91</v>
      </c>
      <c r="H79" s="3" t="s">
        <v>91</v>
      </c>
      <c r="I79" s="3" t="s">
        <v>91</v>
      </c>
      <c r="J79" s="3" t="s">
        <v>91</v>
      </c>
    </row>
    <row r="80" spans="2:10" x14ac:dyDescent="0.3">
      <c r="B80" s="23" t="s">
        <v>13</v>
      </c>
      <c r="C80" s="28" t="s">
        <v>74</v>
      </c>
      <c r="D80" s="80">
        <v>4.8422896685736285E-4</v>
      </c>
      <c r="E80" s="18">
        <v>4.7648130338764502E-5</v>
      </c>
      <c r="F80" s="18">
        <v>1.2028247536736893E-4</v>
      </c>
      <c r="G80" s="18">
        <v>2.1712826873884151E-4</v>
      </c>
      <c r="H80" s="18">
        <v>3.1397406211031408E-4</v>
      </c>
      <c r="I80" s="18">
        <v>4.1081985548178669E-4</v>
      </c>
      <c r="J80" s="18">
        <v>5.0766564885325923E-4</v>
      </c>
    </row>
    <row r="81" spans="2:10" x14ac:dyDescent="0.3">
      <c r="B81" s="24"/>
      <c r="C81" s="28" t="s">
        <v>75</v>
      </c>
      <c r="D81" s="81">
        <v>2.2651279844285725E-5</v>
      </c>
      <c r="E81" s="18">
        <v>2.2288859366777155E-6</v>
      </c>
      <c r="F81" s="18">
        <v>5.6265779133205743E-6</v>
      </c>
      <c r="G81" s="18">
        <v>1.0156833882177719E-5</v>
      </c>
      <c r="H81" s="18">
        <v>1.4687089851034863E-5</v>
      </c>
      <c r="I81" s="18">
        <v>1.9217345819892009E-5</v>
      </c>
      <c r="J81" s="18">
        <v>2.3747601788749154E-5</v>
      </c>
    </row>
    <row r="82" spans="2:10" x14ac:dyDescent="0.3">
      <c r="B82" s="24"/>
      <c r="C82" s="28" t="s">
        <v>76</v>
      </c>
      <c r="D82" s="17">
        <v>4.7609096979940113E-4</v>
      </c>
      <c r="E82" s="18">
        <v>4.6847351428261072E-5</v>
      </c>
      <c r="F82" s="18">
        <v>1.1826099689817124E-4</v>
      </c>
      <c r="G82" s="18">
        <v>2.1347919085805148E-4</v>
      </c>
      <c r="H82" s="18">
        <v>3.0869738481793167E-4</v>
      </c>
      <c r="I82" s="18">
        <v>4.0391557877781194E-4</v>
      </c>
      <c r="J82" s="18">
        <v>4.9913377273769211E-4</v>
      </c>
    </row>
    <row r="83" spans="2:10" x14ac:dyDescent="0.3">
      <c r="B83" s="23" t="s">
        <v>19</v>
      </c>
      <c r="C83" s="28" t="s">
        <v>74</v>
      </c>
      <c r="D83" s="29">
        <v>3.7542971726114123E-3</v>
      </c>
      <c r="E83" s="18">
        <v>3.6942284178496297E-4</v>
      </c>
      <c r="F83" s="18">
        <v>9.3256741767667485E-4</v>
      </c>
      <c r="G83" s="18">
        <v>1.6834268521989575E-3</v>
      </c>
      <c r="H83" s="18">
        <v>2.4342862867212395E-3</v>
      </c>
      <c r="I83" s="18">
        <v>3.1851457212435223E-3</v>
      </c>
      <c r="J83" s="18">
        <v>3.936005155765805E-3</v>
      </c>
    </row>
    <row r="84" spans="2:10" x14ac:dyDescent="0.3">
      <c r="B84" s="24"/>
      <c r="C84" s="28" t="s">
        <v>75</v>
      </c>
      <c r="D84" s="17">
        <v>4.0035081664375512E-4</v>
      </c>
      <c r="E84" s="18">
        <v>3.9394520357745502E-5</v>
      </c>
      <c r="F84" s="18">
        <v>9.9447142854308771E-5</v>
      </c>
      <c r="G84" s="18">
        <v>1.795173061830598E-4</v>
      </c>
      <c r="H84" s="18">
        <v>2.5958746951181081E-4</v>
      </c>
      <c r="I84" s="18">
        <v>3.3965763284056185E-4</v>
      </c>
      <c r="J84" s="18">
        <v>4.1972779616931288E-4</v>
      </c>
    </row>
    <row r="85" spans="2:10" x14ac:dyDescent="0.3">
      <c r="B85" s="24"/>
      <c r="C85" s="28" t="s">
        <v>76</v>
      </c>
      <c r="D85" s="17">
        <v>3.7081759294167616E-3</v>
      </c>
      <c r="E85" s="18">
        <v>3.6488451145460935E-4</v>
      </c>
      <c r="F85" s="18">
        <v>9.2111090086712357E-4</v>
      </c>
      <c r="G85" s="18">
        <v>1.662746086750476E-3</v>
      </c>
      <c r="H85" s="18">
        <v>2.404381272633828E-3</v>
      </c>
      <c r="I85" s="18">
        <v>3.1460164585171806E-3</v>
      </c>
      <c r="J85" s="18">
        <v>3.8876516444005327E-3</v>
      </c>
    </row>
    <row r="86" spans="2:10" x14ac:dyDescent="0.3">
      <c r="B86" s="23" t="s">
        <v>24</v>
      </c>
      <c r="C86" s="28" t="s">
        <v>74</v>
      </c>
      <c r="D86" s="17">
        <v>3.8095537045700931E-3</v>
      </c>
      <c r="E86" s="18">
        <v>3.7486008452969718E-4</v>
      </c>
      <c r="F86" s="18">
        <v>9.4629314021521115E-4</v>
      </c>
      <c r="G86" s="18">
        <v>1.7082038811292298E-3</v>
      </c>
      <c r="H86" s="18">
        <v>2.4701146220432483E-3</v>
      </c>
      <c r="I86" s="18">
        <v>3.232025362957267E-3</v>
      </c>
      <c r="J86" s="18">
        <v>3.9939361038712857E-3</v>
      </c>
    </row>
    <row r="87" spans="2:10" x14ac:dyDescent="0.3">
      <c r="B87" s="24"/>
      <c r="C87" s="28" t="s">
        <v>75</v>
      </c>
      <c r="D87" s="17">
        <v>4.0865696472310476E-4</v>
      </c>
      <c r="E87" s="18">
        <v>4.0211845328753507E-5</v>
      </c>
      <c r="F87" s="18">
        <v>1.0151039003721922E-4</v>
      </c>
      <c r="G87" s="18">
        <v>1.8324178298184017E-4</v>
      </c>
      <c r="H87" s="18">
        <v>2.6497317592646111E-4</v>
      </c>
      <c r="I87" s="18">
        <v>3.4670456887108211E-4</v>
      </c>
      <c r="J87" s="18">
        <v>4.2843596181570305E-4</v>
      </c>
    </row>
    <row r="88" spans="2:10" x14ac:dyDescent="0.3">
      <c r="B88" s="24"/>
      <c r="C88" s="28" t="s">
        <v>76</v>
      </c>
      <c r="D88" s="17">
        <v>3.7628782310117816E-3</v>
      </c>
      <c r="E88" s="18">
        <v>3.7026721793155932E-4</v>
      </c>
      <c r="F88" s="18">
        <v>9.3469895258332665E-4</v>
      </c>
      <c r="G88" s="18">
        <v>1.687274598785683E-3</v>
      </c>
      <c r="H88" s="18">
        <v>2.4398502449880393E-3</v>
      </c>
      <c r="I88" s="18">
        <v>3.1924258911903958E-3</v>
      </c>
      <c r="J88" s="18">
        <v>3.9450015373927519E-3</v>
      </c>
    </row>
    <row r="89" spans="2:10" x14ac:dyDescent="0.3">
      <c r="B89" s="23" t="s">
        <v>30</v>
      </c>
      <c r="C89" s="28" t="s">
        <v>74</v>
      </c>
      <c r="D89" s="17">
        <v>7.7704355863092425E-3</v>
      </c>
      <c r="E89" s="18">
        <v>7.6461086169282949E-4</v>
      </c>
      <c r="F89" s="18">
        <v>1.930176199639216E-3</v>
      </c>
      <c r="G89" s="18">
        <v>3.4842633169010644E-3</v>
      </c>
      <c r="H89" s="18">
        <v>5.0383504341629127E-3</v>
      </c>
      <c r="I89" s="18">
        <v>6.5924375514247614E-3</v>
      </c>
      <c r="J89" s="18">
        <v>8.14652466868661E-3</v>
      </c>
    </row>
    <row r="90" spans="2:10" x14ac:dyDescent="0.3">
      <c r="B90" s="24"/>
      <c r="C90" s="28" t="s">
        <v>75</v>
      </c>
      <c r="D90" s="17">
        <v>1.1146430656953053E-3</v>
      </c>
      <c r="E90" s="18">
        <v>1.0968087766441805E-4</v>
      </c>
      <c r="F90" s="18">
        <v>2.7687733751871385E-4</v>
      </c>
      <c r="G90" s="18">
        <v>4.9980595065777492E-4</v>
      </c>
      <c r="H90" s="18">
        <v>7.2273456379683598E-4</v>
      </c>
      <c r="I90" s="18">
        <v>9.4566317693589705E-4</v>
      </c>
      <c r="J90" s="18">
        <v>1.168591790074958E-3</v>
      </c>
    </row>
    <row r="91" spans="2:10" x14ac:dyDescent="0.3">
      <c r="B91" s="24"/>
      <c r="C91" s="28" t="s">
        <v>76</v>
      </c>
      <c r="D91" s="17">
        <v>7.6877346621022375E-3</v>
      </c>
      <c r="E91" s="18">
        <v>7.5647309075086019E-4</v>
      </c>
      <c r="F91" s="18">
        <v>1.9096332900661959E-3</v>
      </c>
      <c r="G91" s="18">
        <v>3.4471802224866435E-3</v>
      </c>
      <c r="H91" s="18">
        <v>4.9847271549070902E-3</v>
      </c>
      <c r="I91" s="18">
        <v>6.5222740873275382E-3</v>
      </c>
      <c r="J91" s="18">
        <v>8.0598210197479862E-3</v>
      </c>
    </row>
    <row r="92" spans="2:10" x14ac:dyDescent="0.3">
      <c r="B92" s="23" t="s">
        <v>46</v>
      </c>
      <c r="C92" s="28" t="s">
        <v>74</v>
      </c>
      <c r="D92" s="17">
        <v>1.6383331523346745E-2</v>
      </c>
      <c r="E92" s="18">
        <v>1.6121198218973197E-3</v>
      </c>
      <c r="F92" s="18">
        <v>4.069619550399332E-3</v>
      </c>
      <c r="G92" s="18">
        <v>7.3462858550686809E-3</v>
      </c>
      <c r="H92" s="18">
        <v>1.062295215973803E-2</v>
      </c>
      <c r="I92" s="18">
        <v>1.389961846440738E-2</v>
      </c>
      <c r="J92" s="18">
        <v>1.7176284769076729E-2</v>
      </c>
    </row>
    <row r="93" spans="2:10" x14ac:dyDescent="0.3">
      <c r="B93" s="24"/>
      <c r="C93" s="28" t="s">
        <v>75</v>
      </c>
      <c r="D93" s="17">
        <v>3.2021032060767312E-3</v>
      </c>
      <c r="E93" s="18">
        <v>3.1508695547795035E-4</v>
      </c>
      <c r="F93" s="18">
        <v>7.9540243638946001E-4</v>
      </c>
      <c r="G93" s="18">
        <v>1.4358230776048064E-3</v>
      </c>
      <c r="H93" s="18">
        <v>2.0762437188201525E-3</v>
      </c>
      <c r="I93" s="18">
        <v>2.716664360035499E-3</v>
      </c>
      <c r="J93" s="18">
        <v>3.357085001250845E-3</v>
      </c>
    </row>
    <row r="94" spans="2:10" x14ac:dyDescent="0.3">
      <c r="B94" s="24"/>
      <c r="C94" s="28" t="s">
        <v>76</v>
      </c>
      <c r="D94" s="17">
        <v>1.6237213297932273E-2</v>
      </c>
      <c r="E94" s="18">
        <v>1.5977417885165357E-3</v>
      </c>
      <c r="F94" s="18">
        <v>4.0333237832063766E-3</v>
      </c>
      <c r="G94" s="18">
        <v>7.2807664427928312E-3</v>
      </c>
      <c r="H94" s="18">
        <v>1.0528209102379286E-2</v>
      </c>
      <c r="I94" s="18">
        <v>1.377565176196574E-2</v>
      </c>
      <c r="J94" s="18">
        <v>1.7023094421552195E-2</v>
      </c>
    </row>
    <row r="95" spans="2:10" x14ac:dyDescent="0.3">
      <c r="B95" s="23" t="s">
        <v>50</v>
      </c>
      <c r="C95" s="28" t="s">
        <v>74</v>
      </c>
      <c r="D95" s="17">
        <v>3.514574493415687E-2</v>
      </c>
      <c r="E95" s="18">
        <v>3.4583413015210362E-3</v>
      </c>
      <c r="F95" s="18">
        <v>8.7302030416445669E-3</v>
      </c>
      <c r="G95" s="18">
        <v>1.5759352028475941E-2</v>
      </c>
      <c r="H95" s="18">
        <v>2.2788501015307314E-2</v>
      </c>
      <c r="I95" s="18">
        <v>2.981765000213869E-2</v>
      </c>
      <c r="J95" s="18">
        <v>3.6846798988970059E-2</v>
      </c>
    </row>
    <row r="96" spans="2:10" x14ac:dyDescent="0.3">
      <c r="B96" s="24"/>
      <c r="C96" s="28" t="s">
        <v>75</v>
      </c>
      <c r="D96" s="17">
        <v>9.5260175894810277E-3</v>
      </c>
      <c r="E96" s="18">
        <v>9.3736013080493311E-4</v>
      </c>
      <c r="F96" s="18">
        <v>2.3662627692270875E-3</v>
      </c>
      <c r="G96" s="18">
        <v>4.2714662871232928E-3</v>
      </c>
      <c r="H96" s="18">
        <v>6.1766698050194982E-3</v>
      </c>
      <c r="I96" s="18">
        <v>8.0818733229157044E-3</v>
      </c>
      <c r="J96" s="18">
        <v>9.9870768408119089E-3</v>
      </c>
    </row>
    <row r="97" spans="2:10" x14ac:dyDescent="0.3">
      <c r="B97" s="24"/>
      <c r="C97" s="28" t="s">
        <v>76</v>
      </c>
      <c r="D97" s="17">
        <v>3.4896726547302498E-2</v>
      </c>
      <c r="E97" s="18">
        <v>3.4338378922545657E-3</v>
      </c>
      <c r="F97" s="18">
        <v>8.6683468743499401E-3</v>
      </c>
      <c r="G97" s="18">
        <v>1.564769218381044E-2</v>
      </c>
      <c r="H97" s="18">
        <v>2.2627037493270937E-2</v>
      </c>
      <c r="I97" s="18">
        <v>2.9606382802731441E-2</v>
      </c>
      <c r="J97" s="18">
        <v>3.6585728112191941E-2</v>
      </c>
    </row>
    <row r="98" spans="2:10" x14ac:dyDescent="0.3">
      <c r="B98" s="23" t="s">
        <v>53</v>
      </c>
      <c r="C98" s="28" t="s">
        <v>74</v>
      </c>
      <c r="D98" s="17">
        <v>6.1766602410589191E-2</v>
      </c>
      <c r="E98" s="18">
        <v>6.0778336772019763E-3</v>
      </c>
      <c r="F98" s="18">
        <v>1.5342824038790356E-2</v>
      </c>
      <c r="G98" s="18">
        <v>2.7696144520908194E-2</v>
      </c>
      <c r="H98" s="18">
        <v>4.004946500302603E-2</v>
      </c>
      <c r="I98" s="18">
        <v>5.240278548514387E-2</v>
      </c>
      <c r="J98" s="18">
        <v>6.475610596726171E-2</v>
      </c>
    </row>
    <row r="99" spans="2:10" x14ac:dyDescent="0.3">
      <c r="B99" s="24"/>
      <c r="C99" s="28" t="s">
        <v>75</v>
      </c>
      <c r="D99" s="17">
        <v>2.1569997423377354E-2</v>
      </c>
      <c r="E99" s="18">
        <v>2.1224877464603316E-3</v>
      </c>
      <c r="F99" s="18">
        <v>5.3579873599669354E-3</v>
      </c>
      <c r="G99" s="18">
        <v>9.6719868446424068E-3</v>
      </c>
      <c r="H99" s="18">
        <v>1.3985986329317876E-2</v>
      </c>
      <c r="I99" s="18">
        <v>1.829998581399335E-2</v>
      </c>
      <c r="J99" s="18">
        <v>2.2613985298668818E-2</v>
      </c>
    </row>
    <row r="100" spans="2:10" x14ac:dyDescent="0.3">
      <c r="B100" s="24"/>
      <c r="C100" s="28" t="s">
        <v>76</v>
      </c>
      <c r="D100" s="17">
        <v>6.1416741653407325E-2</v>
      </c>
      <c r="E100" s="18">
        <v>6.0434073786952806E-3</v>
      </c>
      <c r="F100" s="18">
        <v>1.525591862670638E-2</v>
      </c>
      <c r="G100" s="18">
        <v>2.7539266957387846E-2</v>
      </c>
      <c r="H100" s="18">
        <v>3.982261528806931E-2</v>
      </c>
      <c r="I100" s="18">
        <v>5.2105963618750778E-2</v>
      </c>
      <c r="J100" s="18">
        <v>6.4389311949432246E-2</v>
      </c>
    </row>
    <row r="101" spans="2:10" x14ac:dyDescent="0.3">
      <c r="B101" s="23" t="s">
        <v>55</v>
      </c>
      <c r="C101" s="28" t="s">
        <v>74</v>
      </c>
      <c r="D101" s="17">
        <v>0.14381460976379973</v>
      </c>
      <c r="E101" s="18">
        <v>1.4151357600757893E-2</v>
      </c>
      <c r="F101" s="18">
        <v>3.5723549065327855E-2</v>
      </c>
      <c r="G101" s="18">
        <v>6.4486471018087799E-2</v>
      </c>
      <c r="H101" s="18">
        <v>9.3249392970847736E-2</v>
      </c>
      <c r="I101" s="18">
        <v>0.1220123149236077</v>
      </c>
      <c r="J101" s="18">
        <v>0.15077523687636762</v>
      </c>
    </row>
    <row r="102" spans="2:10" x14ac:dyDescent="0.3">
      <c r="B102" s="24"/>
      <c r="C102" s="28" t="s">
        <v>75</v>
      </c>
      <c r="D102" s="17">
        <v>7.5742665687987126E-2</v>
      </c>
      <c r="E102" s="18">
        <v>7.4530783036979333E-3</v>
      </c>
      <c r="F102" s="18">
        <v>1.8814478156896002E-2</v>
      </c>
      <c r="G102" s="18">
        <v>3.3963011294493431E-2</v>
      </c>
      <c r="H102" s="18">
        <v>4.9111544432090849E-2</v>
      </c>
      <c r="I102" s="18">
        <v>6.4260077569688281E-2</v>
      </c>
      <c r="J102" s="18">
        <v>7.9408610707285707E-2</v>
      </c>
    </row>
    <row r="103" spans="2:10" x14ac:dyDescent="0.3">
      <c r="B103" s="24"/>
      <c r="C103" s="28" t="s">
        <v>76</v>
      </c>
      <c r="D103" s="17">
        <v>0.1433263883026524</v>
      </c>
      <c r="E103" s="18">
        <v>1.4103316608980997E-2</v>
      </c>
      <c r="F103" s="18">
        <v>3.5602274854378856E-2</v>
      </c>
      <c r="G103" s="18">
        <v>6.4267552514909343E-2</v>
      </c>
      <c r="H103" s="18">
        <v>9.293283017543981E-2</v>
      </c>
      <c r="I103" s="18">
        <v>0.1215981078359703</v>
      </c>
      <c r="J103" s="18">
        <v>0.15026338549650078</v>
      </c>
    </row>
    <row r="104" spans="2:10" x14ac:dyDescent="0.3">
      <c r="B104" s="23" t="s">
        <v>58</v>
      </c>
      <c r="C104" s="28" t="s">
        <v>74</v>
      </c>
      <c r="D104" s="17">
        <v>0.48553776357512579</v>
      </c>
      <c r="E104" s="18">
        <v>4.7776915935792377E-2</v>
      </c>
      <c r="F104" s="18">
        <v>0.12060758047206126</v>
      </c>
      <c r="G104" s="18">
        <v>0.21771513318708641</v>
      </c>
      <c r="H104" s="18">
        <v>0.31482268590211154</v>
      </c>
      <c r="I104" s="18">
        <v>0.41193023861713673</v>
      </c>
      <c r="J104" s="18">
        <v>0.50903779133216187</v>
      </c>
    </row>
    <row r="105" spans="2:10" x14ac:dyDescent="0.3">
      <c r="B105" s="24"/>
      <c r="C105" s="28" t="s">
        <v>75</v>
      </c>
      <c r="D105" s="17">
        <v>0.47971969976318474</v>
      </c>
      <c r="E105" s="18">
        <v>4.7204418456697379E-2</v>
      </c>
      <c r="F105" s="18">
        <v>0.1191623734211751</v>
      </c>
      <c r="G105" s="18">
        <v>0.21510631337381206</v>
      </c>
      <c r="H105" s="18">
        <v>0.31105025332644898</v>
      </c>
      <c r="I105" s="18">
        <v>0.40699419327908593</v>
      </c>
      <c r="J105" s="18">
        <v>0.50293813323172287</v>
      </c>
    </row>
    <row r="106" spans="2:10" x14ac:dyDescent="0.3">
      <c r="B106" s="24"/>
      <c r="C106" s="28" t="s">
        <v>76</v>
      </c>
      <c r="D106" s="17">
        <v>0.48550557175614151</v>
      </c>
      <c r="E106" s="18">
        <v>4.7773748260804327E-2</v>
      </c>
      <c r="F106" s="18">
        <v>0.12059958402422556</v>
      </c>
      <c r="G106" s="18">
        <v>0.21770069837545386</v>
      </c>
      <c r="H106" s="18">
        <v>0.31480181272668212</v>
      </c>
      <c r="I106" s="18">
        <v>0.41190292707791049</v>
      </c>
      <c r="J106" s="18">
        <v>0.5090040414291388</v>
      </c>
    </row>
    <row r="107" spans="2:10" x14ac:dyDescent="0.3">
      <c r="B107" s="23" t="s">
        <v>60</v>
      </c>
      <c r="C107" s="28" t="s">
        <v>74</v>
      </c>
      <c r="D107" s="17">
        <v>1</v>
      </c>
      <c r="E107" s="18">
        <v>9.8400000000000001E-2</v>
      </c>
      <c r="F107" s="18">
        <v>0.24840000000000001</v>
      </c>
      <c r="G107" s="18">
        <v>0.44840000000000002</v>
      </c>
      <c r="H107" s="18">
        <v>0.64839999999999998</v>
      </c>
      <c r="I107" s="18">
        <v>0.84840000000000004</v>
      </c>
      <c r="J107" s="18">
        <v>1.0484</v>
      </c>
    </row>
    <row r="108" spans="2:10" x14ac:dyDescent="0.3">
      <c r="B108" s="24"/>
      <c r="C108" s="28" t="s">
        <v>75</v>
      </c>
      <c r="D108" s="17">
        <v>1</v>
      </c>
      <c r="E108" s="18">
        <v>9.8400000000000001E-2</v>
      </c>
      <c r="F108" s="18">
        <v>0.24840000000000001</v>
      </c>
      <c r="G108" s="18">
        <v>0.44840000000000002</v>
      </c>
      <c r="H108" s="18">
        <v>0.64839999999999998</v>
      </c>
      <c r="I108" s="18">
        <v>0.84840000000000004</v>
      </c>
      <c r="J108" s="18">
        <v>1.0484</v>
      </c>
    </row>
    <row r="109" spans="2:10" x14ac:dyDescent="0.3">
      <c r="B109" s="25"/>
      <c r="C109" s="28" t="s">
        <v>76</v>
      </c>
      <c r="D109" s="17">
        <v>1</v>
      </c>
      <c r="E109" s="18">
        <v>9.8400000000000001E-2</v>
      </c>
      <c r="F109" s="18">
        <v>0.24840000000000001</v>
      </c>
      <c r="G109" s="18">
        <v>0.44840000000000002</v>
      </c>
      <c r="H109" s="18">
        <v>0.64839999999999998</v>
      </c>
      <c r="I109" s="18">
        <v>0.84840000000000004</v>
      </c>
      <c r="J109" s="18">
        <v>1.0484</v>
      </c>
    </row>
  </sheetData>
  <mergeCells count="15">
    <mergeCell ref="E3:J3"/>
    <mergeCell ref="E40:J40"/>
    <mergeCell ref="E76:J76"/>
    <mergeCell ref="R7:R10"/>
    <mergeCell ref="S7:AE7"/>
    <mergeCell ref="S8:AC8"/>
    <mergeCell ref="S9:T9"/>
    <mergeCell ref="R15:R18"/>
    <mergeCell ref="S15:AE15"/>
    <mergeCell ref="U9:Z9"/>
    <mergeCell ref="AA9:AC9"/>
    <mergeCell ref="U17:Z17"/>
    <mergeCell ref="AA17:AC17"/>
    <mergeCell ref="S16:AC16"/>
    <mergeCell ref="S17:T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CC0A-2F20-4122-9CF5-11801C7CA250}">
  <dimension ref="B2:AE145"/>
  <sheetViews>
    <sheetView workbookViewId="0">
      <selection activeCell="R1" sqref="R1:AE1048576"/>
    </sheetView>
  </sheetViews>
  <sheetFormatPr defaultRowHeight="14.4" x14ac:dyDescent="0.3"/>
  <cols>
    <col min="2" max="2" width="11.6640625" bestFit="1" customWidth="1"/>
    <col min="3" max="3" width="11.6640625" style="30" customWidth="1"/>
    <col min="4" max="4" width="8.88671875" style="32" hidden="1" customWidth="1"/>
    <col min="5" max="6" width="8.88671875" style="30"/>
    <col min="7" max="7" width="9.109375" style="30" bestFit="1" customWidth="1"/>
    <col min="8" max="9" width="8.88671875" style="30"/>
    <col min="10" max="10" width="10.109375" style="30" bestFit="1" customWidth="1"/>
    <col min="16" max="16" width="12.6640625" bestFit="1" customWidth="1"/>
    <col min="19" max="20" width="10.33203125" style="1" customWidth="1"/>
    <col min="21" max="21" width="10.5546875" style="1" customWidth="1"/>
    <col min="22" max="22" width="9.6640625" style="1" customWidth="1"/>
    <col min="23" max="29" width="8.88671875" style="1"/>
    <col min="30" max="30" width="10" style="1" customWidth="1"/>
    <col min="31" max="31" width="8.88671875" style="1"/>
  </cols>
  <sheetData>
    <row r="2" spans="2:31" x14ac:dyDescent="0.3">
      <c r="B2" s="26" t="s">
        <v>85</v>
      </c>
    </row>
    <row r="3" spans="2:31" x14ac:dyDescent="0.3">
      <c r="B3" s="1"/>
      <c r="C3" s="32"/>
      <c r="E3" s="117" t="s">
        <v>0</v>
      </c>
      <c r="F3" s="117"/>
      <c r="G3" s="117"/>
      <c r="H3" s="117"/>
      <c r="I3" s="117"/>
      <c r="J3" s="117"/>
    </row>
    <row r="4" spans="2:31" ht="14.4" hidden="1" customHeight="1" x14ac:dyDescent="0.3">
      <c r="B4" s="1"/>
      <c r="C4" s="32"/>
      <c r="E4" s="79">
        <v>9.8400000000000001E-2</v>
      </c>
      <c r="F4" s="79">
        <v>0.24840000000000001</v>
      </c>
      <c r="G4" s="79">
        <v>0.44840000000000002</v>
      </c>
      <c r="H4" s="79">
        <v>0.64839999999999998</v>
      </c>
      <c r="I4" s="79">
        <v>0.84840000000000004</v>
      </c>
      <c r="J4" s="79">
        <v>1.0484</v>
      </c>
    </row>
    <row r="5" spans="2:31" ht="14.4" customHeight="1" x14ac:dyDescent="0.3">
      <c r="B5" s="1"/>
      <c r="C5" s="32"/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</row>
    <row r="6" spans="2:31" ht="28.8" x14ac:dyDescent="0.3">
      <c r="B6" s="21" t="s">
        <v>1</v>
      </c>
      <c r="C6" s="22" t="s">
        <v>73</v>
      </c>
      <c r="D6" s="5" t="s">
        <v>2</v>
      </c>
      <c r="E6" s="3" t="s">
        <v>91</v>
      </c>
      <c r="F6" s="3" t="s">
        <v>91</v>
      </c>
      <c r="G6" s="3" t="s">
        <v>91</v>
      </c>
      <c r="H6" s="3" t="s">
        <v>91</v>
      </c>
      <c r="I6" s="3" t="s">
        <v>91</v>
      </c>
      <c r="J6" s="3" t="s">
        <v>91</v>
      </c>
      <c r="L6" s="5" t="s">
        <v>9</v>
      </c>
      <c r="M6" s="3" t="s">
        <v>10</v>
      </c>
      <c r="O6" s="3" t="s">
        <v>0</v>
      </c>
      <c r="P6" s="3" t="s">
        <v>11</v>
      </c>
      <c r="R6" s="6" t="s">
        <v>12</v>
      </c>
      <c r="S6" s="7"/>
    </row>
    <row r="7" spans="2:31" x14ac:dyDescent="0.3">
      <c r="B7" s="23" t="s">
        <v>13</v>
      </c>
      <c r="C7" s="28" t="s">
        <v>74</v>
      </c>
      <c r="D7" s="80">
        <v>5.678626363526324E-4</v>
      </c>
      <c r="E7" s="18">
        <v>5.5877683417099029E-5</v>
      </c>
      <c r="F7" s="18">
        <v>1.4105707886999388E-4</v>
      </c>
      <c r="G7" s="18">
        <v>2.546296061405204E-4</v>
      </c>
      <c r="H7" s="18">
        <v>3.6820213341104684E-4</v>
      </c>
      <c r="I7" s="18">
        <v>4.8177466068157333E-4</v>
      </c>
      <c r="J7" s="18">
        <v>5.9534718795209982E-4</v>
      </c>
      <c r="L7" s="11" t="s">
        <v>14</v>
      </c>
      <c r="M7" s="12" t="s">
        <v>13</v>
      </c>
      <c r="O7" s="12" t="s">
        <v>15</v>
      </c>
      <c r="P7" s="12" t="s">
        <v>16</v>
      </c>
      <c r="R7" s="109" t="s">
        <v>17</v>
      </c>
      <c r="S7" s="112" t="s">
        <v>18</v>
      </c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</row>
    <row r="8" spans="2:31" x14ac:dyDescent="0.3">
      <c r="B8" s="24"/>
      <c r="C8" s="28" t="s">
        <v>75</v>
      </c>
      <c r="D8" s="81">
        <v>2.7378658153677294E-5</v>
      </c>
      <c r="E8" s="18">
        <v>2.6940599623218458E-6</v>
      </c>
      <c r="F8" s="18">
        <v>6.8008586853734402E-6</v>
      </c>
      <c r="G8" s="18">
        <v>1.2276590316108899E-5</v>
      </c>
      <c r="H8" s="18">
        <v>1.7752321946844356E-5</v>
      </c>
      <c r="I8" s="18">
        <v>2.3228053577579817E-5</v>
      </c>
      <c r="J8" s="18">
        <v>2.8703785208315275E-5</v>
      </c>
      <c r="L8" s="11" t="s">
        <v>20</v>
      </c>
      <c r="M8" s="12" t="s">
        <v>13</v>
      </c>
      <c r="O8" s="12" t="s">
        <v>21</v>
      </c>
      <c r="P8" s="12" t="s">
        <v>22</v>
      </c>
      <c r="R8" s="110"/>
      <c r="S8" s="113" t="s">
        <v>23</v>
      </c>
      <c r="T8" s="114"/>
      <c r="U8" s="114"/>
      <c r="V8" s="114"/>
      <c r="W8" s="114"/>
      <c r="X8" s="114"/>
      <c r="Y8" s="114"/>
      <c r="Z8" s="114"/>
      <c r="AA8" s="114"/>
      <c r="AB8" s="114"/>
      <c r="AC8" s="115"/>
      <c r="AD8" s="14"/>
      <c r="AE8" s="13"/>
    </row>
    <row r="9" spans="2:31" x14ac:dyDescent="0.3">
      <c r="B9" s="24"/>
      <c r="C9" s="28" t="s">
        <v>76</v>
      </c>
      <c r="D9" s="17">
        <v>5.1995578802275805E-4</v>
      </c>
      <c r="E9" s="18">
        <v>5.1163649541439391E-5</v>
      </c>
      <c r="F9" s="18">
        <v>1.2915701774485311E-4</v>
      </c>
      <c r="G9" s="18">
        <v>2.3314817534940473E-4</v>
      </c>
      <c r="H9" s="18">
        <v>3.3713933295395632E-4</v>
      </c>
      <c r="I9" s="18">
        <v>4.4113049055850796E-4</v>
      </c>
      <c r="J9" s="18">
        <v>5.4512164816305955E-4</v>
      </c>
      <c r="L9" s="11" t="s">
        <v>25</v>
      </c>
      <c r="M9" s="12" t="s">
        <v>13</v>
      </c>
      <c r="O9" s="12" t="s">
        <v>26</v>
      </c>
      <c r="P9" s="12" t="s">
        <v>27</v>
      </c>
      <c r="R9" s="110"/>
      <c r="S9" s="113" t="s">
        <v>10</v>
      </c>
      <c r="T9" s="115"/>
      <c r="U9" s="114" t="s">
        <v>28</v>
      </c>
      <c r="V9" s="114"/>
      <c r="W9" s="114"/>
      <c r="X9" s="114"/>
      <c r="Y9" s="114"/>
      <c r="Z9" s="115"/>
      <c r="AA9" s="113" t="s">
        <v>29</v>
      </c>
      <c r="AB9" s="114"/>
      <c r="AC9" s="115"/>
      <c r="AD9" s="13"/>
      <c r="AE9" s="13"/>
    </row>
    <row r="10" spans="2:31" s="30" customFormat="1" ht="28.8" x14ac:dyDescent="0.3">
      <c r="B10" s="27" t="s">
        <v>19</v>
      </c>
      <c r="C10" s="28" t="s">
        <v>74</v>
      </c>
      <c r="D10" s="29">
        <v>4.2167724198712321E-3</v>
      </c>
      <c r="E10" s="18">
        <v>4.1493040611532923E-4</v>
      </c>
      <c r="F10" s="18">
        <v>1.0474462690960142E-3</v>
      </c>
      <c r="G10" s="18">
        <v>1.8908007530702607E-3</v>
      </c>
      <c r="H10" s="18">
        <v>2.7341552370445067E-3</v>
      </c>
      <c r="I10" s="18">
        <v>3.5775097210187534E-3</v>
      </c>
      <c r="J10" s="18">
        <v>4.420864204993E-3</v>
      </c>
      <c r="L10" s="11" t="s">
        <v>31</v>
      </c>
      <c r="M10" s="12" t="s">
        <v>13</v>
      </c>
      <c r="O10" s="12" t="s">
        <v>32</v>
      </c>
      <c r="P10" s="12" t="s">
        <v>33</v>
      </c>
      <c r="R10" s="111"/>
      <c r="S10" s="19" t="s">
        <v>34</v>
      </c>
      <c r="T10" s="19" t="s">
        <v>0</v>
      </c>
      <c r="U10" s="19" t="s">
        <v>35</v>
      </c>
      <c r="V10" s="19" t="s">
        <v>36</v>
      </c>
      <c r="W10" s="19" t="s">
        <v>37</v>
      </c>
      <c r="X10" s="19" t="s">
        <v>38</v>
      </c>
      <c r="Y10" s="19" t="s">
        <v>39</v>
      </c>
      <c r="Z10" s="19" t="s">
        <v>40</v>
      </c>
      <c r="AA10" s="19" t="s">
        <v>41</v>
      </c>
      <c r="AB10" s="19" t="s">
        <v>42</v>
      </c>
      <c r="AC10" s="19" t="s">
        <v>43</v>
      </c>
      <c r="AD10" s="19" t="s">
        <v>44</v>
      </c>
      <c r="AE10" s="19" t="s">
        <v>45</v>
      </c>
    </row>
    <row r="11" spans="2:31" x14ac:dyDescent="0.3">
      <c r="B11" s="24"/>
      <c r="C11" s="28" t="s">
        <v>75</v>
      </c>
      <c r="D11" s="17">
        <v>4.5992065461706065E-4</v>
      </c>
      <c r="E11" s="18">
        <v>4.5256192414318767E-5</v>
      </c>
      <c r="F11" s="18">
        <v>1.1424429060687786E-4</v>
      </c>
      <c r="G11" s="18">
        <v>2.0622842153029001E-4</v>
      </c>
      <c r="H11" s="18">
        <v>2.982125524537021E-4</v>
      </c>
      <c r="I11" s="18">
        <v>3.9019668337711427E-4</v>
      </c>
      <c r="J11" s="18">
        <v>4.8218081430052639E-4</v>
      </c>
      <c r="L11" s="11" t="s">
        <v>47</v>
      </c>
      <c r="M11" s="12" t="s">
        <v>13</v>
      </c>
      <c r="O11" s="12" t="s">
        <v>48</v>
      </c>
      <c r="P11" s="12" t="s">
        <v>49</v>
      </c>
      <c r="R11" s="15"/>
      <c r="S11" s="13"/>
      <c r="T11" s="13"/>
      <c r="U11" s="13" t="s">
        <v>103</v>
      </c>
      <c r="V11" s="13"/>
      <c r="W11" s="13"/>
      <c r="X11" s="13"/>
      <c r="Y11" s="13"/>
      <c r="Z11" s="13">
        <f>SUM(V11:Y11)</f>
        <v>0</v>
      </c>
      <c r="AA11" s="13"/>
      <c r="AB11" s="13"/>
      <c r="AC11" s="13">
        <f>SUM(AA11:AB11)</f>
        <v>0</v>
      </c>
      <c r="AD11" s="13">
        <f>SUM(Z11,AC11)</f>
        <v>0</v>
      </c>
      <c r="AE11" s="13">
        <f>AD11-SUM(V11:W11)</f>
        <v>0</v>
      </c>
    </row>
    <row r="12" spans="2:31" x14ac:dyDescent="0.3">
      <c r="B12" s="24"/>
      <c r="C12" s="28" t="s">
        <v>76</v>
      </c>
      <c r="D12" s="17">
        <v>3.9543331361724266E-3</v>
      </c>
      <c r="E12" s="18">
        <v>3.8910638059936676E-4</v>
      </c>
      <c r="F12" s="18">
        <v>9.8225635102523073E-4</v>
      </c>
      <c r="G12" s="18">
        <v>1.7731229782597161E-3</v>
      </c>
      <c r="H12" s="18">
        <v>2.5639896054942012E-3</v>
      </c>
      <c r="I12" s="18">
        <v>3.3548562327286868E-3</v>
      </c>
      <c r="J12" s="18">
        <v>4.145722859963172E-3</v>
      </c>
      <c r="L12" s="11" t="s">
        <v>51</v>
      </c>
      <c r="M12" s="12" t="s">
        <v>13</v>
      </c>
      <c r="O12" s="12" t="s">
        <v>52</v>
      </c>
      <c r="P12" s="20">
        <v>1</v>
      </c>
    </row>
    <row r="13" spans="2:31" x14ac:dyDescent="0.3">
      <c r="B13" s="23" t="s">
        <v>24</v>
      </c>
      <c r="C13" s="28" t="s">
        <v>74</v>
      </c>
      <c r="D13" s="17">
        <v>4.2775029323585696E-3</v>
      </c>
      <c r="E13" s="18">
        <v>4.2090628854408324E-4</v>
      </c>
      <c r="F13" s="18">
        <v>1.0625317283978687E-3</v>
      </c>
      <c r="G13" s="18">
        <v>1.9180323148695827E-3</v>
      </c>
      <c r="H13" s="18">
        <v>2.7735329013412963E-3</v>
      </c>
      <c r="I13" s="18">
        <v>3.6290334878130107E-3</v>
      </c>
      <c r="J13" s="18">
        <v>4.4845340742847243E-3</v>
      </c>
      <c r="L13" s="11" t="s">
        <v>54</v>
      </c>
      <c r="M13" s="12" t="s">
        <v>13</v>
      </c>
    </row>
    <row r="14" spans="2:31" x14ac:dyDescent="0.3">
      <c r="B14" s="24"/>
      <c r="C14" s="28" t="s">
        <v>75</v>
      </c>
      <c r="D14" s="17">
        <v>4.6929157420196841E-4</v>
      </c>
      <c r="E14" s="18">
        <v>4.617829090147369E-5</v>
      </c>
      <c r="F14" s="18">
        <v>1.1657202703176896E-4</v>
      </c>
      <c r="G14" s="18">
        <v>2.1043034187216263E-4</v>
      </c>
      <c r="H14" s="18">
        <v>3.0428865671255629E-4</v>
      </c>
      <c r="I14" s="18">
        <v>3.9814697155295001E-4</v>
      </c>
      <c r="J14" s="18">
        <v>4.9200528639334372E-4</v>
      </c>
      <c r="L14" s="11" t="s">
        <v>56</v>
      </c>
      <c r="M14" s="12" t="s">
        <v>19</v>
      </c>
      <c r="R14" s="6" t="s">
        <v>57</v>
      </c>
      <c r="S14" s="7"/>
    </row>
    <row r="15" spans="2:31" x14ac:dyDescent="0.3">
      <c r="B15" s="24"/>
      <c r="C15" s="28" t="s">
        <v>76</v>
      </c>
      <c r="D15" s="17">
        <v>4.0119756041916638E-3</v>
      </c>
      <c r="E15" s="18">
        <v>3.9477839945245975E-4</v>
      </c>
      <c r="F15" s="18">
        <v>9.9657474008120928E-4</v>
      </c>
      <c r="G15" s="18">
        <v>1.7989698609195421E-3</v>
      </c>
      <c r="H15" s="18">
        <v>2.6013649817578748E-3</v>
      </c>
      <c r="I15" s="18">
        <v>3.4037601025962076E-3</v>
      </c>
      <c r="J15" s="18">
        <v>4.2061552234345405E-3</v>
      </c>
      <c r="L15" s="11" t="s">
        <v>59</v>
      </c>
      <c r="M15" s="12" t="s">
        <v>19</v>
      </c>
      <c r="R15" s="109" t="s">
        <v>17</v>
      </c>
      <c r="S15" s="112" t="s">
        <v>18</v>
      </c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</row>
    <row r="16" spans="2:31" x14ac:dyDescent="0.3">
      <c r="B16" s="23" t="s">
        <v>30</v>
      </c>
      <c r="C16" s="28" t="s">
        <v>74</v>
      </c>
      <c r="D16" s="17">
        <v>8.5922884969668427E-3</v>
      </c>
      <c r="E16" s="18">
        <v>8.4548118810153731E-4</v>
      </c>
      <c r="F16" s="18">
        <v>2.1343244626465638E-3</v>
      </c>
      <c r="G16" s="18">
        <v>3.8527821620399326E-3</v>
      </c>
      <c r="H16" s="18">
        <v>5.571239861433301E-3</v>
      </c>
      <c r="I16" s="18">
        <v>7.2896975608266693E-3</v>
      </c>
      <c r="J16" s="18">
        <v>9.0081552602200386E-3</v>
      </c>
      <c r="L16" s="11" t="s">
        <v>61</v>
      </c>
      <c r="M16" s="12" t="s">
        <v>24</v>
      </c>
      <c r="R16" s="110"/>
      <c r="S16" s="113" t="s">
        <v>23</v>
      </c>
      <c r="T16" s="114"/>
      <c r="U16" s="114"/>
      <c r="V16" s="114"/>
      <c r="W16" s="114"/>
      <c r="X16" s="114"/>
      <c r="Y16" s="114"/>
      <c r="Z16" s="114"/>
      <c r="AA16" s="114"/>
      <c r="AB16" s="114"/>
      <c r="AC16" s="115"/>
      <c r="AD16" s="14"/>
      <c r="AE16" s="13"/>
    </row>
    <row r="17" spans="2:31" x14ac:dyDescent="0.3">
      <c r="B17" s="24"/>
      <c r="C17" s="28" t="s">
        <v>75</v>
      </c>
      <c r="D17" s="17">
        <v>1.2573732331033656E-3</v>
      </c>
      <c r="E17" s="18">
        <v>1.2372552613737118E-4</v>
      </c>
      <c r="F17" s="18">
        <v>3.1233151110287601E-4</v>
      </c>
      <c r="G17" s="18">
        <v>5.638061577235492E-4</v>
      </c>
      <c r="H17" s="18">
        <v>8.1528080434422224E-4</v>
      </c>
      <c r="I17" s="18">
        <v>1.0667554509648954E-3</v>
      </c>
      <c r="J17" s="18">
        <v>1.3182300975855684E-3</v>
      </c>
      <c r="L17" s="11" t="s">
        <v>62</v>
      </c>
      <c r="M17" s="12" t="s">
        <v>24</v>
      </c>
      <c r="R17" s="110"/>
      <c r="S17" s="113" t="s">
        <v>10</v>
      </c>
      <c r="T17" s="115"/>
      <c r="U17" s="114" t="s">
        <v>28</v>
      </c>
      <c r="V17" s="114"/>
      <c r="W17" s="114"/>
      <c r="X17" s="114"/>
      <c r="Y17" s="114"/>
      <c r="Z17" s="115"/>
      <c r="AA17" s="113" t="s">
        <v>29</v>
      </c>
      <c r="AB17" s="114"/>
      <c r="AC17" s="115"/>
      <c r="AD17" s="13"/>
      <c r="AE17" s="13"/>
    </row>
    <row r="18" spans="2:31" s="30" customFormat="1" ht="28.8" x14ac:dyDescent="0.3">
      <c r="B18" s="31"/>
      <c r="C18" s="28" t="s">
        <v>76</v>
      </c>
      <c r="D18" s="17">
        <v>8.1275324204029172E-3</v>
      </c>
      <c r="E18" s="18">
        <v>7.9974919016764703E-4</v>
      </c>
      <c r="F18" s="18">
        <v>2.0188790532280846E-3</v>
      </c>
      <c r="G18" s="18">
        <v>3.644385537308668E-3</v>
      </c>
      <c r="H18" s="18">
        <v>5.2698920213892515E-3</v>
      </c>
      <c r="I18" s="18">
        <v>6.8953985054698349E-3</v>
      </c>
      <c r="J18" s="18">
        <v>8.5209049895504183E-3</v>
      </c>
      <c r="L18" s="11" t="s">
        <v>63</v>
      </c>
      <c r="M18" s="12" t="s">
        <v>30</v>
      </c>
      <c r="R18" s="111"/>
      <c r="S18" s="19" t="s">
        <v>34</v>
      </c>
      <c r="T18" s="19" t="s">
        <v>0</v>
      </c>
      <c r="U18" s="19" t="s">
        <v>35</v>
      </c>
      <c r="V18" s="19" t="s">
        <v>36</v>
      </c>
      <c r="W18" s="19" t="s">
        <v>37</v>
      </c>
      <c r="X18" s="19" t="s">
        <v>38</v>
      </c>
      <c r="Y18" s="19" t="s">
        <v>39</v>
      </c>
      <c r="Z18" s="19" t="s">
        <v>40</v>
      </c>
      <c r="AA18" s="19" t="s">
        <v>41</v>
      </c>
      <c r="AB18" s="19" t="s">
        <v>42</v>
      </c>
      <c r="AC18" s="19" t="s">
        <v>43</v>
      </c>
      <c r="AD18" s="19" t="s">
        <v>44</v>
      </c>
      <c r="AE18" s="19" t="s">
        <v>45</v>
      </c>
    </row>
    <row r="19" spans="2:31" x14ac:dyDescent="0.3">
      <c r="B19" s="23" t="s">
        <v>46</v>
      </c>
      <c r="C19" s="28" t="s">
        <v>74</v>
      </c>
      <c r="D19" s="17">
        <v>1.7821612727040935E-2</v>
      </c>
      <c r="E19" s="18">
        <v>1.7536466923408281E-3</v>
      </c>
      <c r="F19" s="18">
        <v>4.4268886013969682E-3</v>
      </c>
      <c r="G19" s="18">
        <v>7.9912111468051564E-3</v>
      </c>
      <c r="H19" s="18">
        <v>1.1555533692213342E-2</v>
      </c>
      <c r="I19" s="18">
        <v>1.5119856237621529E-2</v>
      </c>
      <c r="J19" s="18">
        <v>1.8684178783029717E-2</v>
      </c>
      <c r="L19" s="11" t="s">
        <v>64</v>
      </c>
      <c r="M19" s="12" t="s">
        <v>46</v>
      </c>
      <c r="R19" s="15"/>
      <c r="S19" s="13"/>
      <c r="T19" s="13"/>
      <c r="U19" s="13"/>
      <c r="V19" s="13"/>
      <c r="W19" s="13"/>
      <c r="X19" s="13"/>
      <c r="Y19" s="13"/>
      <c r="Z19" s="13">
        <f>SUM(V19:Y19)</f>
        <v>0</v>
      </c>
      <c r="AA19" s="13"/>
      <c r="AB19" s="13"/>
      <c r="AC19" s="13">
        <f>SUM(AA19:AB19)</f>
        <v>0</v>
      </c>
      <c r="AD19" s="13">
        <f>SUM(Z19,AC19)</f>
        <v>0</v>
      </c>
      <c r="AE19" s="13">
        <f>AD19-SUM(V19:W19)</f>
        <v>0</v>
      </c>
    </row>
    <row r="20" spans="2:31" x14ac:dyDescent="0.3">
      <c r="B20" s="24"/>
      <c r="C20" s="28" t="s">
        <v>75</v>
      </c>
      <c r="D20" s="17">
        <v>3.5443912491850815E-3</v>
      </c>
      <c r="E20" s="18">
        <v>3.4876809891981202E-4</v>
      </c>
      <c r="F20" s="18">
        <v>8.8042678629757427E-4</v>
      </c>
      <c r="G20" s="18">
        <v>1.5893050361345906E-3</v>
      </c>
      <c r="H20" s="18">
        <v>2.2981832859716067E-3</v>
      </c>
      <c r="I20" s="18">
        <v>3.0070615358086233E-3</v>
      </c>
      <c r="J20" s="18">
        <v>3.7159397856456394E-3</v>
      </c>
      <c r="L20" s="11" t="s">
        <v>65</v>
      </c>
      <c r="M20" s="12" t="s">
        <v>50</v>
      </c>
    </row>
    <row r="21" spans="2:31" x14ac:dyDescent="0.3">
      <c r="B21" s="24"/>
      <c r="C21" s="28" t="s">
        <v>76</v>
      </c>
      <c r="D21" s="17">
        <v>1.701128413826291E-2</v>
      </c>
      <c r="E21" s="18">
        <v>1.6739103592050702E-3</v>
      </c>
      <c r="F21" s="18">
        <v>4.2256029799445068E-3</v>
      </c>
      <c r="G21" s="18">
        <v>7.6278598075970889E-3</v>
      </c>
      <c r="H21" s="18">
        <v>1.103011663524967E-2</v>
      </c>
      <c r="I21" s="18">
        <v>1.4432373462902253E-2</v>
      </c>
      <c r="J21" s="18">
        <v>1.7834630290554834E-2</v>
      </c>
      <c r="L21" s="11" t="s">
        <v>66</v>
      </c>
      <c r="M21" s="12" t="s">
        <v>53</v>
      </c>
    </row>
    <row r="22" spans="2:31" x14ac:dyDescent="0.3">
      <c r="B22" s="23" t="s">
        <v>50</v>
      </c>
      <c r="C22" s="28" t="s">
        <v>74</v>
      </c>
      <c r="D22" s="17">
        <v>3.7571749771312779E-2</v>
      </c>
      <c r="E22" s="18">
        <v>3.6970601774971774E-3</v>
      </c>
      <c r="F22" s="18">
        <v>9.3328226431940945E-3</v>
      </c>
      <c r="G22" s="18">
        <v>1.6847172597456651E-2</v>
      </c>
      <c r="H22" s="18">
        <v>2.4361522551719205E-2</v>
      </c>
      <c r="I22" s="18">
        <v>3.1875872505981763E-2</v>
      </c>
      <c r="J22" s="18">
        <v>3.9390222460244317E-2</v>
      </c>
      <c r="L22" s="11" t="s">
        <v>67</v>
      </c>
      <c r="M22" s="12" t="s">
        <v>55</v>
      </c>
    </row>
    <row r="23" spans="2:31" x14ac:dyDescent="0.3">
      <c r="B23" s="24"/>
      <c r="C23" s="28" t="s">
        <v>75</v>
      </c>
      <c r="D23" s="17">
        <v>1.0336384077862087E-2</v>
      </c>
      <c r="E23" s="18">
        <v>1.0171001932616293E-3</v>
      </c>
      <c r="F23" s="18">
        <v>2.5675578049409427E-3</v>
      </c>
      <c r="G23" s="18">
        <v>4.6348346205133603E-3</v>
      </c>
      <c r="H23" s="18">
        <v>6.702111436085777E-3</v>
      </c>
      <c r="I23" s="18">
        <v>8.7693882516581955E-3</v>
      </c>
      <c r="J23" s="18">
        <v>1.0836665067230612E-2</v>
      </c>
      <c r="L23" s="11" t="s">
        <v>68</v>
      </c>
      <c r="M23" s="12" t="s">
        <v>58</v>
      </c>
    </row>
    <row r="24" spans="2:31" x14ac:dyDescent="0.3">
      <c r="B24" s="24"/>
      <c r="C24" s="28" t="s">
        <v>76</v>
      </c>
      <c r="D24" s="17">
        <v>3.6210454993987132E-2</v>
      </c>
      <c r="E24" s="18">
        <v>3.5631087714083336E-3</v>
      </c>
      <c r="F24" s="18">
        <v>8.9946770205064034E-3</v>
      </c>
      <c r="G24" s="18">
        <v>1.6236768019303831E-2</v>
      </c>
      <c r="H24" s="18">
        <v>2.3478859018101254E-2</v>
      </c>
      <c r="I24" s="18">
        <v>3.0720950016898684E-2</v>
      </c>
      <c r="J24" s="18">
        <v>3.7963041015696107E-2</v>
      </c>
      <c r="L24" s="11" t="s">
        <v>69</v>
      </c>
      <c r="M24" s="12" t="s">
        <v>58</v>
      </c>
    </row>
    <row r="25" spans="2:31" x14ac:dyDescent="0.3">
      <c r="B25" s="23" t="s">
        <v>53</v>
      </c>
      <c r="C25" s="28" t="s">
        <v>74</v>
      </c>
      <c r="D25" s="17">
        <v>6.5147495225831215E-2</v>
      </c>
      <c r="E25" s="18">
        <v>6.4105135302217914E-3</v>
      </c>
      <c r="F25" s="18">
        <v>1.6182637814096474E-2</v>
      </c>
      <c r="G25" s="18">
        <v>2.921213685926272E-2</v>
      </c>
      <c r="H25" s="18">
        <v>4.2241635904428955E-2</v>
      </c>
      <c r="I25" s="18">
        <v>5.5271134949595208E-2</v>
      </c>
      <c r="J25" s="18">
        <v>6.8300633994761439E-2</v>
      </c>
      <c r="L25" s="11" t="s">
        <v>70</v>
      </c>
      <c r="M25" s="12" t="s">
        <v>58</v>
      </c>
    </row>
    <row r="26" spans="2:31" x14ac:dyDescent="0.3">
      <c r="B26" s="24"/>
      <c r="C26" s="28" t="s">
        <v>75</v>
      </c>
      <c r="D26" s="17">
        <v>2.3047113074193909E-2</v>
      </c>
      <c r="E26" s="18">
        <v>2.2678359265006806E-3</v>
      </c>
      <c r="F26" s="18">
        <v>5.724902887629767E-3</v>
      </c>
      <c r="G26" s="18">
        <v>1.033432550246855E-2</v>
      </c>
      <c r="H26" s="18">
        <v>1.494374811730733E-2</v>
      </c>
      <c r="I26" s="18">
        <v>1.9553170732146113E-2</v>
      </c>
      <c r="J26" s="18">
        <v>2.4162593346984895E-2</v>
      </c>
      <c r="L26" s="11" t="s">
        <v>71</v>
      </c>
      <c r="M26" s="12" t="s">
        <v>60</v>
      </c>
    </row>
    <row r="27" spans="2:31" x14ac:dyDescent="0.3">
      <c r="B27" s="24"/>
      <c r="C27" s="28" t="s">
        <v>76</v>
      </c>
      <c r="D27" s="17">
        <v>6.3256455429282918E-2</v>
      </c>
      <c r="E27" s="18">
        <v>6.2244352142414392E-3</v>
      </c>
      <c r="F27" s="18">
        <v>1.5712903528633877E-2</v>
      </c>
      <c r="G27" s="18">
        <v>2.8364194614490461E-2</v>
      </c>
      <c r="H27" s="18">
        <v>4.1015485700347042E-2</v>
      </c>
      <c r="I27" s="18">
        <v>5.3666776786203629E-2</v>
      </c>
      <c r="J27" s="18">
        <v>6.631806787206021E-2</v>
      </c>
    </row>
    <row r="28" spans="2:31" x14ac:dyDescent="0.3">
      <c r="B28" s="23" t="s">
        <v>55</v>
      </c>
      <c r="C28" s="28" t="s">
        <v>74</v>
      </c>
      <c r="D28" s="17">
        <v>0.14847184082369816</v>
      </c>
      <c r="E28" s="18">
        <v>1.4609629137051898E-2</v>
      </c>
      <c r="F28" s="18">
        <v>3.6880405260606625E-2</v>
      </c>
      <c r="G28" s="18">
        <v>6.6574773425346262E-2</v>
      </c>
      <c r="H28" s="18">
        <v>9.6269141590085885E-2</v>
      </c>
      <c r="I28" s="18">
        <v>0.12596350975482554</v>
      </c>
      <c r="J28" s="18">
        <v>0.15565787791956515</v>
      </c>
    </row>
    <row r="29" spans="2:31" x14ac:dyDescent="0.3">
      <c r="B29" s="24"/>
      <c r="C29" s="28" t="s">
        <v>75</v>
      </c>
      <c r="D29" s="17">
        <v>7.8913474136147285E-2</v>
      </c>
      <c r="E29" s="18">
        <v>7.7650858549968933E-3</v>
      </c>
      <c r="F29" s="18">
        <v>1.9602106975418986E-2</v>
      </c>
      <c r="G29" s="18">
        <v>3.5384801802648441E-2</v>
      </c>
      <c r="H29" s="18">
        <v>5.11674966298779E-2</v>
      </c>
      <c r="I29" s="18">
        <v>6.6950191457107358E-2</v>
      </c>
      <c r="J29" s="18">
        <v>8.273288628433681E-2</v>
      </c>
    </row>
    <row r="30" spans="2:31" x14ac:dyDescent="0.3">
      <c r="B30" s="24"/>
      <c r="C30" s="28" t="s">
        <v>76</v>
      </c>
      <c r="D30" s="17">
        <v>0.14588028232662623</v>
      </c>
      <c r="E30" s="18">
        <v>1.435461978094002E-2</v>
      </c>
      <c r="F30" s="18">
        <v>3.6236662129933955E-2</v>
      </c>
      <c r="G30" s="18">
        <v>6.5412718595259198E-2</v>
      </c>
      <c r="H30" s="18">
        <v>9.458877506058444E-2</v>
      </c>
      <c r="I30" s="18">
        <v>0.1237648315259097</v>
      </c>
      <c r="J30" s="18">
        <v>0.15294088799123493</v>
      </c>
    </row>
    <row r="31" spans="2:31" x14ac:dyDescent="0.3">
      <c r="B31" s="23" t="s">
        <v>58</v>
      </c>
      <c r="C31" s="28" t="s">
        <v>74</v>
      </c>
      <c r="D31" s="17">
        <v>0.48584037251354317</v>
      </c>
      <c r="E31" s="18">
        <v>4.7806692655332647E-2</v>
      </c>
      <c r="F31" s="18">
        <v>0.12068274853236413</v>
      </c>
      <c r="G31" s="18">
        <v>0.21785082303507278</v>
      </c>
      <c r="H31" s="18">
        <v>0.31501889753778139</v>
      </c>
      <c r="I31" s="18">
        <v>0.41218697204049004</v>
      </c>
      <c r="J31" s="18">
        <v>0.50935504654319863</v>
      </c>
    </row>
    <row r="32" spans="2:31" x14ac:dyDescent="0.3">
      <c r="B32" s="24"/>
      <c r="C32" s="28" t="s">
        <v>75</v>
      </c>
      <c r="D32" s="17">
        <v>0.48007996700799727</v>
      </c>
      <c r="E32" s="18">
        <v>4.7239868753586933E-2</v>
      </c>
      <c r="F32" s="18">
        <v>0.11925186380478653</v>
      </c>
      <c r="G32" s="18">
        <v>0.21526785720638597</v>
      </c>
      <c r="H32" s="18">
        <v>0.31128385060798541</v>
      </c>
      <c r="I32" s="18">
        <v>0.40729984400958491</v>
      </c>
      <c r="J32" s="18">
        <v>0.50331583741118435</v>
      </c>
    </row>
    <row r="33" spans="2:10" x14ac:dyDescent="0.3">
      <c r="B33" s="24"/>
      <c r="C33" s="28" t="s">
        <v>76</v>
      </c>
      <c r="D33" s="17">
        <v>0.48567297052458985</v>
      </c>
      <c r="E33" s="18">
        <v>4.7790220299619643E-2</v>
      </c>
      <c r="F33" s="18">
        <v>0.12064116587830813</v>
      </c>
      <c r="G33" s="18">
        <v>0.2177757599832261</v>
      </c>
      <c r="H33" s="18">
        <v>0.31491035408814405</v>
      </c>
      <c r="I33" s="18">
        <v>0.41204494819306203</v>
      </c>
      <c r="J33" s="18">
        <v>0.50917954229798001</v>
      </c>
    </row>
    <row r="34" spans="2:10" x14ac:dyDescent="0.3">
      <c r="B34" s="23" t="s">
        <v>60</v>
      </c>
      <c r="C34" s="28" t="s">
        <v>74</v>
      </c>
      <c r="D34" s="17">
        <v>1</v>
      </c>
      <c r="E34" s="18">
        <v>9.8400000000000001E-2</v>
      </c>
      <c r="F34" s="18">
        <v>0.24840000000000001</v>
      </c>
      <c r="G34" s="18">
        <v>0.44840000000000002</v>
      </c>
      <c r="H34" s="18">
        <v>0.64839999999999998</v>
      </c>
      <c r="I34" s="18">
        <v>0.84840000000000004</v>
      </c>
      <c r="J34" s="18">
        <v>1.0484</v>
      </c>
    </row>
    <row r="35" spans="2:10" x14ac:dyDescent="0.3">
      <c r="B35" s="24"/>
      <c r="C35" s="28" t="s">
        <v>75</v>
      </c>
      <c r="D35" s="17">
        <v>1</v>
      </c>
      <c r="E35" s="18">
        <v>9.8400000000000001E-2</v>
      </c>
      <c r="F35" s="18">
        <v>0.24840000000000001</v>
      </c>
      <c r="G35" s="18">
        <v>0.44840000000000002</v>
      </c>
      <c r="H35" s="18">
        <v>0.64839999999999998</v>
      </c>
      <c r="I35" s="18">
        <v>0.84840000000000004</v>
      </c>
      <c r="J35" s="18">
        <v>1.0484</v>
      </c>
    </row>
    <row r="36" spans="2:10" x14ac:dyDescent="0.3">
      <c r="B36" s="25"/>
      <c r="C36" s="28" t="s">
        <v>76</v>
      </c>
      <c r="D36" s="17">
        <v>1</v>
      </c>
      <c r="E36" s="18">
        <v>9.8400000000000001E-2</v>
      </c>
      <c r="F36" s="18">
        <v>0.24840000000000001</v>
      </c>
      <c r="G36" s="18">
        <v>0.44840000000000002</v>
      </c>
      <c r="H36" s="18">
        <v>0.64839999999999998</v>
      </c>
      <c r="I36" s="18">
        <v>0.84840000000000004</v>
      </c>
      <c r="J36" s="18">
        <v>1.0484</v>
      </c>
    </row>
    <row r="39" spans="2:10" x14ac:dyDescent="0.3">
      <c r="B39" s="26" t="s">
        <v>86</v>
      </c>
    </row>
    <row r="40" spans="2:10" x14ac:dyDescent="0.3">
      <c r="B40" s="1"/>
      <c r="C40" s="32"/>
      <c r="E40" s="117" t="s">
        <v>0</v>
      </c>
      <c r="F40" s="117"/>
      <c r="G40" s="117"/>
      <c r="H40" s="117"/>
      <c r="I40" s="117"/>
      <c r="J40" s="117"/>
    </row>
    <row r="41" spans="2:10" ht="14.4" hidden="1" customHeight="1" x14ac:dyDescent="0.3">
      <c r="B41" s="1"/>
      <c r="C41" s="32"/>
      <c r="E41" s="79">
        <v>9.8400000000000001E-2</v>
      </c>
      <c r="F41" s="79">
        <v>0.24840000000000001</v>
      </c>
      <c r="G41" s="79">
        <v>0.44840000000000002</v>
      </c>
      <c r="H41" s="79">
        <v>0.64839999999999998</v>
      </c>
      <c r="I41" s="79">
        <v>0.84840000000000004</v>
      </c>
      <c r="J41" s="79">
        <v>1.0484</v>
      </c>
    </row>
    <row r="42" spans="2:10" ht="14.4" customHeight="1" x14ac:dyDescent="0.3">
      <c r="B42" s="1"/>
      <c r="C42" s="32"/>
      <c r="E42" s="3" t="s">
        <v>3</v>
      </c>
      <c r="F42" s="3" t="s">
        <v>4</v>
      </c>
      <c r="G42" s="3" t="s">
        <v>5</v>
      </c>
      <c r="H42" s="3" t="s">
        <v>6</v>
      </c>
      <c r="I42" s="3" t="s">
        <v>7</v>
      </c>
      <c r="J42" s="3" t="s">
        <v>8</v>
      </c>
    </row>
    <row r="43" spans="2:10" x14ac:dyDescent="0.3">
      <c r="B43" s="21" t="s">
        <v>1</v>
      </c>
      <c r="C43" s="22" t="s">
        <v>73</v>
      </c>
      <c r="D43" s="5" t="s">
        <v>2</v>
      </c>
      <c r="E43" s="3" t="s">
        <v>91</v>
      </c>
      <c r="F43" s="3" t="s">
        <v>91</v>
      </c>
      <c r="G43" s="3" t="s">
        <v>91</v>
      </c>
      <c r="H43" s="3" t="s">
        <v>91</v>
      </c>
      <c r="I43" s="3" t="s">
        <v>91</v>
      </c>
      <c r="J43" s="3" t="s">
        <v>91</v>
      </c>
    </row>
    <row r="44" spans="2:10" x14ac:dyDescent="0.3">
      <c r="B44" s="23" t="s">
        <v>13</v>
      </c>
      <c r="C44" s="28" t="s">
        <v>74</v>
      </c>
      <c r="D44" s="80">
        <v>2.4213694637649245E-3</v>
      </c>
      <c r="E44" s="18">
        <v>2.3826275523446857E-4</v>
      </c>
      <c r="F44" s="18">
        <v>6.014681747992073E-4</v>
      </c>
      <c r="G44" s="18">
        <v>1.0857420675521921E-3</v>
      </c>
      <c r="H44" s="18">
        <v>1.5700159603051771E-3</v>
      </c>
      <c r="I44" s="18">
        <v>2.0542898530581622E-3</v>
      </c>
      <c r="J44" s="18">
        <v>2.538563745811147E-3</v>
      </c>
    </row>
    <row r="45" spans="2:10" x14ac:dyDescent="0.3">
      <c r="B45" s="24"/>
      <c r="C45" s="28" t="s">
        <v>75</v>
      </c>
      <c r="D45" s="81">
        <v>5.8351369555991932E-5</v>
      </c>
      <c r="E45" s="18">
        <v>5.741774764309606E-6</v>
      </c>
      <c r="F45" s="18">
        <v>1.4494480197708396E-5</v>
      </c>
      <c r="G45" s="18">
        <v>2.6164754108906785E-5</v>
      </c>
      <c r="H45" s="18">
        <v>3.783502802010517E-5</v>
      </c>
      <c r="I45" s="18">
        <v>4.9505301931303555E-5</v>
      </c>
      <c r="J45" s="18">
        <v>6.1175575842501947E-5</v>
      </c>
    </row>
    <row r="46" spans="2:10" x14ac:dyDescent="0.3">
      <c r="B46" s="24"/>
      <c r="C46" s="28" t="s">
        <v>76</v>
      </c>
      <c r="D46" s="17">
        <v>2.3807122676816192E-3</v>
      </c>
      <c r="E46" s="18">
        <v>2.3426208713987133E-4</v>
      </c>
      <c r="F46" s="18">
        <v>5.9136892729211418E-4</v>
      </c>
      <c r="G46" s="18">
        <v>1.0675113808284382E-3</v>
      </c>
      <c r="H46" s="18">
        <v>1.5436538343647618E-3</v>
      </c>
      <c r="I46" s="18">
        <v>2.0197962879010857E-3</v>
      </c>
      <c r="J46" s="18">
        <v>2.4959387414374094E-3</v>
      </c>
    </row>
    <row r="47" spans="2:10" x14ac:dyDescent="0.3">
      <c r="B47" s="23" t="s">
        <v>19</v>
      </c>
      <c r="C47" s="28" t="s">
        <v>74</v>
      </c>
      <c r="D47" s="29">
        <v>1.2101890469860604E-2</v>
      </c>
      <c r="E47" s="18">
        <v>1.1908260222342835E-3</v>
      </c>
      <c r="F47" s="18">
        <v>3.0061095927133743E-3</v>
      </c>
      <c r="G47" s="18">
        <v>5.4264876866854947E-3</v>
      </c>
      <c r="H47" s="18">
        <v>7.8468657806576147E-3</v>
      </c>
      <c r="I47" s="18">
        <v>1.0267243874629737E-2</v>
      </c>
      <c r="J47" s="18">
        <v>1.2687621968601858E-2</v>
      </c>
    </row>
    <row r="48" spans="2:10" x14ac:dyDescent="0.3">
      <c r="B48" s="24"/>
      <c r="C48" s="28" t="s">
        <v>75</v>
      </c>
      <c r="D48" s="17">
        <v>7.9911671353590809E-4</v>
      </c>
      <c r="E48" s="18">
        <v>7.8633084611933363E-5</v>
      </c>
      <c r="F48" s="18">
        <v>1.9850059164231958E-4</v>
      </c>
      <c r="G48" s="18">
        <v>3.5832393434950122E-4</v>
      </c>
      <c r="H48" s="18">
        <v>5.1814727705668277E-4</v>
      </c>
      <c r="I48" s="18">
        <v>6.7797061976386443E-4</v>
      </c>
      <c r="J48" s="18">
        <v>8.3779396247104609E-4</v>
      </c>
    </row>
    <row r="49" spans="2:10" x14ac:dyDescent="0.3">
      <c r="B49" s="24"/>
      <c r="C49" s="28" t="s">
        <v>76</v>
      </c>
      <c r="D49" s="17">
        <v>1.1954344860700242E-2</v>
      </c>
      <c r="E49" s="18">
        <v>1.1763075342929039E-3</v>
      </c>
      <c r="F49" s="18">
        <v>2.9694592633979404E-3</v>
      </c>
      <c r="G49" s="18">
        <v>5.3603282355379886E-3</v>
      </c>
      <c r="H49" s="18">
        <v>7.7511972076780367E-3</v>
      </c>
      <c r="I49" s="18">
        <v>1.0142066179818086E-2</v>
      </c>
      <c r="J49" s="18">
        <v>1.2532935151958134E-2</v>
      </c>
    </row>
    <row r="50" spans="2:10" x14ac:dyDescent="0.3">
      <c r="B50" s="23" t="s">
        <v>24</v>
      </c>
      <c r="C50" s="28" t="s">
        <v>74</v>
      </c>
      <c r="D50" s="17">
        <v>1.2241022207272884E-2</v>
      </c>
      <c r="E50" s="18">
        <v>1.2045165851956518E-3</v>
      </c>
      <c r="F50" s="18">
        <v>3.0406699162865846E-3</v>
      </c>
      <c r="G50" s="18">
        <v>5.4888743577411608E-3</v>
      </c>
      <c r="H50" s="18">
        <v>7.9370787991957376E-3</v>
      </c>
      <c r="I50" s="18">
        <v>1.0385283240650314E-2</v>
      </c>
      <c r="J50" s="18">
        <v>1.2833487682104891E-2</v>
      </c>
    </row>
    <row r="51" spans="2:10" x14ac:dyDescent="0.3">
      <c r="B51" s="24"/>
      <c r="C51" s="28" t="s">
        <v>75</v>
      </c>
      <c r="D51" s="17">
        <v>8.1420696864985688E-4</v>
      </c>
      <c r="E51" s="18">
        <v>8.0117965715145918E-5</v>
      </c>
      <c r="F51" s="18">
        <v>2.0224901101262445E-4</v>
      </c>
      <c r="G51" s="18">
        <v>3.6509040474259582E-4</v>
      </c>
      <c r="H51" s="18">
        <v>5.2793179847256718E-4</v>
      </c>
      <c r="I51" s="18">
        <v>6.907731922025386E-4</v>
      </c>
      <c r="J51" s="18">
        <v>8.5361458593250991E-4</v>
      </c>
    </row>
    <row r="52" spans="2:10" x14ac:dyDescent="0.3">
      <c r="B52" s="24"/>
      <c r="C52" s="28" t="s">
        <v>76</v>
      </c>
      <c r="D52" s="17">
        <v>1.2092190508948603E-2</v>
      </c>
      <c r="E52" s="18">
        <v>1.1898715460805424E-3</v>
      </c>
      <c r="F52" s="18">
        <v>3.0037001224228329E-3</v>
      </c>
      <c r="G52" s="18">
        <v>5.4221382242125539E-3</v>
      </c>
      <c r="H52" s="18">
        <v>7.8405763260022739E-3</v>
      </c>
      <c r="I52" s="18">
        <v>1.0259014427791995E-2</v>
      </c>
      <c r="J52" s="18">
        <v>1.2677452529581716E-2</v>
      </c>
    </row>
    <row r="53" spans="2:10" x14ac:dyDescent="0.3">
      <c r="B53" s="23" t="s">
        <v>30</v>
      </c>
      <c r="C53" s="28" t="s">
        <v>74</v>
      </c>
      <c r="D53" s="17">
        <v>2.1350269749640903E-2</v>
      </c>
      <c r="E53" s="18">
        <v>2.1008665433646647E-3</v>
      </c>
      <c r="F53" s="18">
        <v>5.3034070058108002E-3</v>
      </c>
      <c r="G53" s="18">
        <v>9.5734609557389817E-3</v>
      </c>
      <c r="H53" s="18">
        <v>1.3843514905667161E-2</v>
      </c>
      <c r="I53" s="18">
        <v>1.8113568855595345E-2</v>
      </c>
      <c r="J53" s="18">
        <v>2.2383622805523522E-2</v>
      </c>
    </row>
    <row r="54" spans="2:10" x14ac:dyDescent="0.3">
      <c r="B54" s="24"/>
      <c r="C54" s="28" t="s">
        <v>75</v>
      </c>
      <c r="D54" s="17">
        <v>2.0307392057371957E-3</v>
      </c>
      <c r="E54" s="18">
        <v>1.9982473784454005E-4</v>
      </c>
      <c r="F54" s="18">
        <v>5.0443561870511938E-4</v>
      </c>
      <c r="G54" s="18">
        <v>9.1058345985255856E-4</v>
      </c>
      <c r="H54" s="18">
        <v>1.3167313009999975E-3</v>
      </c>
      <c r="I54" s="18">
        <v>1.7228791421474369E-3</v>
      </c>
      <c r="J54" s="18">
        <v>2.1290269832948761E-3</v>
      </c>
    </row>
    <row r="55" spans="2:10" x14ac:dyDescent="0.3">
      <c r="B55" s="24"/>
      <c r="C55" s="28" t="s">
        <v>76</v>
      </c>
      <c r="D55" s="17">
        <v>2.1125975997593017E-2</v>
      </c>
      <c r="E55" s="18">
        <v>2.0787960381631527E-3</v>
      </c>
      <c r="F55" s="18">
        <v>5.2476924378021053E-3</v>
      </c>
      <c r="G55" s="18">
        <v>9.4728876373207094E-3</v>
      </c>
      <c r="H55" s="18">
        <v>1.3698082836839312E-2</v>
      </c>
      <c r="I55" s="18">
        <v>1.7923278036357917E-2</v>
      </c>
      <c r="J55" s="18">
        <v>2.2148473235876518E-2</v>
      </c>
    </row>
    <row r="56" spans="2:10" x14ac:dyDescent="0.3">
      <c r="B56" s="23" t="s">
        <v>46</v>
      </c>
      <c r="C56" s="28" t="s">
        <v>74</v>
      </c>
      <c r="D56" s="17">
        <v>3.8061369897004503E-2</v>
      </c>
      <c r="E56" s="18">
        <v>3.7452387978652432E-3</v>
      </c>
      <c r="F56" s="18">
        <v>9.4544442824159181E-3</v>
      </c>
      <c r="G56" s="18">
        <v>1.706671826181682E-2</v>
      </c>
      <c r="H56" s="18">
        <v>2.467899224121772E-2</v>
      </c>
      <c r="I56" s="18">
        <v>3.229126622061862E-2</v>
      </c>
      <c r="J56" s="18">
        <v>3.9903540200019523E-2</v>
      </c>
    </row>
    <row r="57" spans="2:10" x14ac:dyDescent="0.3">
      <c r="B57" s="24"/>
      <c r="C57" s="28" t="s">
        <v>75</v>
      </c>
      <c r="D57" s="17">
        <v>5.306047862118423E-3</v>
      </c>
      <c r="E57" s="18">
        <v>5.2211510963245283E-4</v>
      </c>
      <c r="F57" s="18">
        <v>1.3180222889502163E-3</v>
      </c>
      <c r="G57" s="18">
        <v>2.3792318613739009E-3</v>
      </c>
      <c r="H57" s="18">
        <v>3.4404414337975853E-3</v>
      </c>
      <c r="I57" s="18">
        <v>4.5016510062212706E-3</v>
      </c>
      <c r="J57" s="18">
        <v>5.5628605786449551E-3</v>
      </c>
    </row>
    <row r="58" spans="2:10" x14ac:dyDescent="0.3">
      <c r="B58" s="24"/>
      <c r="C58" s="28" t="s">
        <v>76</v>
      </c>
      <c r="D58" s="17">
        <v>3.7729147514312895E-2</v>
      </c>
      <c r="E58" s="18">
        <v>3.712548115408389E-3</v>
      </c>
      <c r="F58" s="18">
        <v>9.3719202425553236E-3</v>
      </c>
      <c r="G58" s="18">
        <v>1.6917749745417904E-2</v>
      </c>
      <c r="H58" s="18">
        <v>2.4463579248280482E-2</v>
      </c>
      <c r="I58" s="18">
        <v>3.2009408751143061E-2</v>
      </c>
      <c r="J58" s="18">
        <v>3.9555238254005642E-2</v>
      </c>
    </row>
    <row r="59" spans="2:10" x14ac:dyDescent="0.3">
      <c r="B59" s="23" t="s">
        <v>50</v>
      </c>
      <c r="C59" s="28" t="s">
        <v>74</v>
      </c>
      <c r="D59" s="17">
        <v>6.8340260691603094E-2</v>
      </c>
      <c r="E59" s="18">
        <v>6.7246816520537449E-3</v>
      </c>
      <c r="F59" s="18">
        <v>1.6975720755794208E-2</v>
      </c>
      <c r="G59" s="18">
        <v>3.064377289411483E-2</v>
      </c>
      <c r="H59" s="18">
        <v>4.4311825032435442E-2</v>
      </c>
      <c r="I59" s="18">
        <v>5.7979877170756068E-2</v>
      </c>
      <c r="J59" s="18">
        <v>7.164792930907668E-2</v>
      </c>
    </row>
    <row r="60" spans="2:10" x14ac:dyDescent="0.3">
      <c r="B60" s="24"/>
      <c r="C60" s="28" t="s">
        <v>75</v>
      </c>
      <c r="D60" s="17">
        <v>1.4286466115993572E-2</v>
      </c>
      <c r="E60" s="18">
        <v>1.4057882658137675E-3</v>
      </c>
      <c r="F60" s="18">
        <v>3.5487581832128034E-3</v>
      </c>
      <c r="G60" s="18">
        <v>6.4060514064115176E-3</v>
      </c>
      <c r="H60" s="18">
        <v>9.2633446296102318E-3</v>
      </c>
      <c r="I60" s="18">
        <v>1.2120637852808947E-2</v>
      </c>
      <c r="J60" s="18">
        <v>1.497793107600766E-2</v>
      </c>
    </row>
    <row r="61" spans="2:10" x14ac:dyDescent="0.3">
      <c r="B61" s="24"/>
      <c r="C61" s="28" t="s">
        <v>76</v>
      </c>
      <c r="D61" s="17">
        <v>6.7872371785310429E-2</v>
      </c>
      <c r="E61" s="18">
        <v>6.678641383674546E-3</v>
      </c>
      <c r="F61" s="18">
        <v>1.6859497151471111E-2</v>
      </c>
      <c r="G61" s="18">
        <v>3.0433971508533199E-2</v>
      </c>
      <c r="H61" s="18">
        <v>4.4008445865595283E-2</v>
      </c>
      <c r="I61" s="18">
        <v>5.7582920222657367E-2</v>
      </c>
      <c r="J61" s="18">
        <v>7.1157394579719452E-2</v>
      </c>
    </row>
    <row r="62" spans="2:10" x14ac:dyDescent="0.3">
      <c r="B62" s="23" t="s">
        <v>53</v>
      </c>
      <c r="C62" s="28" t="s">
        <v>74</v>
      </c>
      <c r="D62" s="17">
        <v>0.10474172255867778</v>
      </c>
      <c r="E62" s="18">
        <v>1.0306585499773894E-2</v>
      </c>
      <c r="F62" s="18">
        <v>2.6017843883575562E-2</v>
      </c>
      <c r="G62" s="18">
        <v>4.6966188395311116E-2</v>
      </c>
      <c r="H62" s="18">
        <v>6.7914532907046674E-2</v>
      </c>
      <c r="I62" s="18">
        <v>8.8862877418782238E-2</v>
      </c>
      <c r="J62" s="18">
        <v>0.10981122193051779</v>
      </c>
    </row>
    <row r="63" spans="2:10" x14ac:dyDescent="0.3">
      <c r="B63" s="24"/>
      <c r="C63" s="28" t="s">
        <v>75</v>
      </c>
      <c r="D63" s="17">
        <v>2.9947317465223E-2</v>
      </c>
      <c r="E63" s="18">
        <v>2.9468160385779435E-3</v>
      </c>
      <c r="F63" s="18">
        <v>7.4389136583613933E-3</v>
      </c>
      <c r="G63" s="18">
        <v>1.3428377151405994E-2</v>
      </c>
      <c r="H63" s="18">
        <v>1.9417840644450592E-2</v>
      </c>
      <c r="I63" s="18">
        <v>2.5407304137495194E-2</v>
      </c>
      <c r="J63" s="18">
        <v>3.1396767630539793E-2</v>
      </c>
    </row>
    <row r="64" spans="2:10" x14ac:dyDescent="0.3">
      <c r="B64" s="24"/>
      <c r="C64" s="28" t="s">
        <v>76</v>
      </c>
      <c r="D64" s="17">
        <v>0.10417522776503248</v>
      </c>
      <c r="E64" s="18">
        <v>1.0250842412079197E-2</v>
      </c>
      <c r="F64" s="18">
        <v>2.5877126576834067E-2</v>
      </c>
      <c r="G64" s="18">
        <v>4.6712172129840565E-2</v>
      </c>
      <c r="H64" s="18">
        <v>6.7547217682847049E-2</v>
      </c>
      <c r="I64" s="18">
        <v>8.8382263235853561E-2</v>
      </c>
      <c r="J64" s="18">
        <v>0.10921730878886005</v>
      </c>
    </row>
    <row r="65" spans="2:10" x14ac:dyDescent="0.3">
      <c r="B65" s="23" t="s">
        <v>55</v>
      </c>
      <c r="C65" s="28" t="s">
        <v>74</v>
      </c>
      <c r="D65" s="17">
        <v>0.19673947304766595</v>
      </c>
      <c r="E65" s="18">
        <v>1.935916414789033E-2</v>
      </c>
      <c r="F65" s="18">
        <v>4.8870085105040227E-2</v>
      </c>
      <c r="G65" s="18">
        <v>8.8217979714573416E-2</v>
      </c>
      <c r="H65" s="18">
        <v>0.1275658743241066</v>
      </c>
      <c r="I65" s="18">
        <v>0.16691376893363979</v>
      </c>
      <c r="J65" s="18">
        <v>0.20626166354317299</v>
      </c>
    </row>
    <row r="66" spans="2:10" x14ac:dyDescent="0.3">
      <c r="B66" s="24"/>
      <c r="C66" s="28" t="s">
        <v>75</v>
      </c>
      <c r="D66" s="17">
        <v>9.2713830527402785E-2</v>
      </c>
      <c r="E66" s="18">
        <v>9.123040923896434E-3</v>
      </c>
      <c r="F66" s="18">
        <v>2.3030115503006852E-2</v>
      </c>
      <c r="G66" s="18">
        <v>4.1572881608487412E-2</v>
      </c>
      <c r="H66" s="18">
        <v>6.0115647713967962E-2</v>
      </c>
      <c r="I66" s="18">
        <v>7.8658413819448533E-2</v>
      </c>
      <c r="J66" s="18">
        <v>9.7201179924929076E-2</v>
      </c>
    </row>
    <row r="67" spans="2:10" x14ac:dyDescent="0.3">
      <c r="B67" s="24"/>
      <c r="C67" s="28" t="s">
        <v>76</v>
      </c>
      <c r="D67" s="17">
        <v>0.19611254434494221</v>
      </c>
      <c r="E67" s="18">
        <v>1.9297474363542313E-2</v>
      </c>
      <c r="F67" s="18">
        <v>4.871435601528365E-2</v>
      </c>
      <c r="G67" s="18">
        <v>8.793686488427209E-2</v>
      </c>
      <c r="H67" s="18">
        <v>0.12715937375326053</v>
      </c>
      <c r="I67" s="18">
        <v>0.16638188262224898</v>
      </c>
      <c r="J67" s="18">
        <v>0.20560439149123741</v>
      </c>
    </row>
    <row r="68" spans="2:10" x14ac:dyDescent="0.3">
      <c r="B68" s="23" t="s">
        <v>58</v>
      </c>
      <c r="C68" s="28" t="s">
        <v>74</v>
      </c>
      <c r="D68" s="17">
        <v>0.48859557642085172</v>
      </c>
      <c r="E68" s="18">
        <v>4.8077804719811809E-2</v>
      </c>
      <c r="F68" s="18">
        <v>0.12136714118293958</v>
      </c>
      <c r="G68" s="18">
        <v>0.21908625646710991</v>
      </c>
      <c r="H68" s="18">
        <v>0.31680537175128026</v>
      </c>
      <c r="I68" s="18">
        <v>0.41452448703545064</v>
      </c>
      <c r="J68" s="18">
        <v>0.51224360231962096</v>
      </c>
    </row>
    <row r="69" spans="2:10" x14ac:dyDescent="0.3">
      <c r="B69" s="24"/>
      <c r="C69" s="28" t="s">
        <v>75</v>
      </c>
      <c r="D69" s="17">
        <v>0.48150653462810905</v>
      </c>
      <c r="E69" s="18">
        <v>4.7380243007405932E-2</v>
      </c>
      <c r="F69" s="18">
        <v>0.1196062232016223</v>
      </c>
      <c r="G69" s="18">
        <v>0.21590753012724412</v>
      </c>
      <c r="H69" s="18">
        <v>0.3122088370528659</v>
      </c>
      <c r="I69" s="18">
        <v>0.40851014397848773</v>
      </c>
      <c r="J69" s="18">
        <v>0.5048114509041095</v>
      </c>
    </row>
    <row r="70" spans="2:10" x14ac:dyDescent="0.3">
      <c r="B70" s="24"/>
      <c r="C70" s="28" t="s">
        <v>76</v>
      </c>
      <c r="D70" s="17">
        <v>0.48856337437692143</v>
      </c>
      <c r="E70" s="18">
        <v>4.807463603868907E-2</v>
      </c>
      <c r="F70" s="18">
        <v>0.12135914219522728</v>
      </c>
      <c r="G70" s="18">
        <v>0.21907181707061157</v>
      </c>
      <c r="H70" s="18">
        <v>0.31678449194599584</v>
      </c>
      <c r="I70" s="18">
        <v>0.41449716682138016</v>
      </c>
      <c r="J70" s="18">
        <v>0.51220984169676442</v>
      </c>
    </row>
    <row r="71" spans="2:10" x14ac:dyDescent="0.3">
      <c r="B71" s="23" t="s">
        <v>60</v>
      </c>
      <c r="C71" s="28" t="s">
        <v>74</v>
      </c>
      <c r="D71" s="17">
        <v>1</v>
      </c>
      <c r="E71" s="18">
        <v>9.8400000000000001E-2</v>
      </c>
      <c r="F71" s="18">
        <v>0.24840000000000001</v>
      </c>
      <c r="G71" s="18">
        <v>0.44840000000000002</v>
      </c>
      <c r="H71" s="18">
        <v>0.64839999999999998</v>
      </c>
      <c r="I71" s="18">
        <v>0.84840000000000004</v>
      </c>
      <c r="J71" s="18">
        <v>1.0484</v>
      </c>
    </row>
    <row r="72" spans="2:10" x14ac:dyDescent="0.3">
      <c r="B72" s="24"/>
      <c r="C72" s="28" t="s">
        <v>75</v>
      </c>
      <c r="D72" s="17">
        <v>1</v>
      </c>
      <c r="E72" s="18">
        <v>9.8400000000000001E-2</v>
      </c>
      <c r="F72" s="18">
        <v>0.24840000000000001</v>
      </c>
      <c r="G72" s="18">
        <v>0.44840000000000002</v>
      </c>
      <c r="H72" s="18">
        <v>0.64839999999999998</v>
      </c>
      <c r="I72" s="18">
        <v>0.84840000000000004</v>
      </c>
      <c r="J72" s="18">
        <v>1.0484</v>
      </c>
    </row>
    <row r="73" spans="2:10" x14ac:dyDescent="0.3">
      <c r="B73" s="25"/>
      <c r="C73" s="28" t="s">
        <v>76</v>
      </c>
      <c r="D73" s="17">
        <v>1</v>
      </c>
      <c r="E73" s="18">
        <v>9.8400000000000001E-2</v>
      </c>
      <c r="F73" s="18">
        <v>0.24840000000000001</v>
      </c>
      <c r="G73" s="18">
        <v>0.44840000000000002</v>
      </c>
      <c r="H73" s="18">
        <v>0.64839999999999998</v>
      </c>
      <c r="I73" s="18">
        <v>0.84840000000000004</v>
      </c>
      <c r="J73" s="18">
        <v>1.0484</v>
      </c>
    </row>
    <row r="75" spans="2:10" x14ac:dyDescent="0.3">
      <c r="B75" s="26" t="s">
        <v>87</v>
      </c>
    </row>
    <row r="76" spans="2:10" x14ac:dyDescent="0.3">
      <c r="B76" s="1"/>
      <c r="C76" s="32"/>
      <c r="E76" s="117" t="s">
        <v>0</v>
      </c>
      <c r="F76" s="117"/>
      <c r="G76" s="117"/>
      <c r="H76" s="117"/>
      <c r="I76" s="117"/>
      <c r="J76" s="117"/>
    </row>
    <row r="77" spans="2:10" ht="14.4" hidden="1" customHeight="1" x14ac:dyDescent="0.3">
      <c r="B77" s="1"/>
      <c r="C77" s="32"/>
      <c r="E77" s="79">
        <v>9.8400000000000001E-2</v>
      </c>
      <c r="F77" s="79">
        <v>0.24840000000000001</v>
      </c>
      <c r="G77" s="79">
        <v>0.44840000000000002</v>
      </c>
      <c r="H77" s="79">
        <v>0.64839999999999998</v>
      </c>
      <c r="I77" s="79">
        <v>0.84840000000000004</v>
      </c>
      <c r="J77" s="79">
        <v>1.0484</v>
      </c>
    </row>
    <row r="78" spans="2:10" ht="14.4" customHeight="1" x14ac:dyDescent="0.3">
      <c r="B78" s="1"/>
      <c r="C78" s="32"/>
      <c r="E78" s="3" t="s">
        <v>3</v>
      </c>
      <c r="F78" s="3" t="s">
        <v>4</v>
      </c>
      <c r="G78" s="3" t="s">
        <v>5</v>
      </c>
      <c r="H78" s="3" t="s">
        <v>6</v>
      </c>
      <c r="I78" s="3" t="s">
        <v>7</v>
      </c>
      <c r="J78" s="3" t="s">
        <v>8</v>
      </c>
    </row>
    <row r="79" spans="2:10" x14ac:dyDescent="0.3">
      <c r="B79" s="21" t="s">
        <v>1</v>
      </c>
      <c r="C79" s="22" t="s">
        <v>73</v>
      </c>
      <c r="D79" s="5" t="s">
        <v>2</v>
      </c>
      <c r="E79" s="3" t="s">
        <v>91</v>
      </c>
      <c r="F79" s="3" t="s">
        <v>91</v>
      </c>
      <c r="G79" s="3" t="s">
        <v>91</v>
      </c>
      <c r="H79" s="3" t="s">
        <v>91</v>
      </c>
      <c r="I79" s="3" t="s">
        <v>91</v>
      </c>
      <c r="J79" s="3" t="s">
        <v>91</v>
      </c>
    </row>
    <row r="80" spans="2:10" x14ac:dyDescent="0.3">
      <c r="B80" s="23" t="s">
        <v>13</v>
      </c>
      <c r="C80" s="28" t="s">
        <v>74</v>
      </c>
      <c r="D80" s="80">
        <v>3.2937661938366386E-4</v>
      </c>
      <c r="E80" s="18">
        <v>3.2410659347352524E-5</v>
      </c>
      <c r="F80" s="18">
        <v>8.1817152254902106E-5</v>
      </c>
      <c r="G80" s="18">
        <v>1.4769247613163487E-4</v>
      </c>
      <c r="H80" s="18">
        <v>2.1356780000836764E-4</v>
      </c>
      <c r="I80" s="18">
        <v>2.7944312388510046E-4</v>
      </c>
      <c r="J80" s="18">
        <v>3.453184477618332E-4</v>
      </c>
    </row>
    <row r="81" spans="2:10" x14ac:dyDescent="0.3">
      <c r="B81" s="24"/>
      <c r="C81" s="28" t="s">
        <v>75</v>
      </c>
      <c r="D81" s="81">
        <v>1.6825486220527652E-5</v>
      </c>
      <c r="E81" s="18">
        <v>1.655627844099921E-6</v>
      </c>
      <c r="F81" s="18">
        <v>4.1794507771790687E-6</v>
      </c>
      <c r="G81" s="18">
        <v>7.5445480212845996E-6</v>
      </c>
      <c r="H81" s="18">
        <v>1.090964526539013E-5</v>
      </c>
      <c r="I81" s="18">
        <v>1.4274742509495661E-5</v>
      </c>
      <c r="J81" s="18">
        <v>1.7639839753601192E-5</v>
      </c>
    </row>
    <row r="82" spans="2:10" x14ac:dyDescent="0.3">
      <c r="B82" s="24"/>
      <c r="C82" s="28" t="s">
        <v>76</v>
      </c>
      <c r="D82" s="17">
        <v>3.5168212350073056E-4</v>
      </c>
      <c r="E82" s="18">
        <v>3.4605520952471887E-5</v>
      </c>
      <c r="F82" s="18">
        <v>8.7357839477581468E-5</v>
      </c>
      <c r="G82" s="18">
        <v>1.576942641777276E-4</v>
      </c>
      <c r="H82" s="18">
        <v>2.2803068887787369E-4</v>
      </c>
      <c r="I82" s="18">
        <v>2.9836711357801983E-4</v>
      </c>
      <c r="J82" s="18">
        <v>3.6870353827816592E-4</v>
      </c>
    </row>
    <row r="83" spans="2:10" x14ac:dyDescent="0.3">
      <c r="B83" s="23" t="s">
        <v>19</v>
      </c>
      <c r="C83" s="28" t="s">
        <v>74</v>
      </c>
      <c r="D83" s="29">
        <v>2.8279568162104187E-3</v>
      </c>
      <c r="E83" s="18">
        <v>2.7827095071510522E-4</v>
      </c>
      <c r="F83" s="18">
        <v>7.0246447314666798E-4</v>
      </c>
      <c r="G83" s="18">
        <v>1.2680558363887518E-3</v>
      </c>
      <c r="H83" s="18">
        <v>1.8336471996308354E-3</v>
      </c>
      <c r="I83" s="18">
        <v>2.3992385628729194E-3</v>
      </c>
      <c r="J83" s="18">
        <v>2.9648299261150028E-3</v>
      </c>
    </row>
    <row r="84" spans="2:10" x14ac:dyDescent="0.3">
      <c r="B84" s="24"/>
      <c r="C84" s="28" t="s">
        <v>75</v>
      </c>
      <c r="D84" s="17">
        <v>3.2185512845263017E-4</v>
      </c>
      <c r="E84" s="18">
        <v>3.1670544639738806E-5</v>
      </c>
      <c r="F84" s="18">
        <v>7.9948813907633335E-5</v>
      </c>
      <c r="G84" s="18">
        <v>1.4431983959815937E-4</v>
      </c>
      <c r="H84" s="18">
        <v>2.0869086528868538E-4</v>
      </c>
      <c r="I84" s="18">
        <v>2.7306189097921142E-4</v>
      </c>
      <c r="J84" s="18">
        <v>3.3743291666973749E-4</v>
      </c>
    </row>
    <row r="85" spans="2:10" x14ac:dyDescent="0.3">
      <c r="B85" s="24"/>
      <c r="C85" s="28" t="s">
        <v>76</v>
      </c>
      <c r="D85" s="17">
        <v>2.9668592176901685E-3</v>
      </c>
      <c r="E85" s="18">
        <v>2.919389470207126E-4</v>
      </c>
      <c r="F85" s="18">
        <v>7.3696782967423789E-4</v>
      </c>
      <c r="G85" s="18">
        <v>1.3303396732122716E-3</v>
      </c>
      <c r="H85" s="18">
        <v>1.9237115167503051E-3</v>
      </c>
      <c r="I85" s="18">
        <v>2.5170833602883389E-3</v>
      </c>
      <c r="J85" s="18">
        <v>3.1104552038263727E-3</v>
      </c>
    </row>
    <row r="86" spans="2:10" x14ac:dyDescent="0.3">
      <c r="B86" s="23" t="s">
        <v>24</v>
      </c>
      <c r="C86" s="28" t="s">
        <v>74</v>
      </c>
      <c r="D86" s="17">
        <v>2.8717074880955078E-3</v>
      </c>
      <c r="E86" s="18">
        <v>2.8257601682859796E-4</v>
      </c>
      <c r="F86" s="18">
        <v>7.133321400429242E-4</v>
      </c>
      <c r="G86" s="18">
        <v>1.2876736376620259E-3</v>
      </c>
      <c r="H86" s="18">
        <v>1.8620151352811273E-3</v>
      </c>
      <c r="I86" s="18">
        <v>2.436356632900229E-3</v>
      </c>
      <c r="J86" s="18">
        <v>3.0106981305193306E-3</v>
      </c>
    </row>
    <row r="87" spans="2:10" x14ac:dyDescent="0.3">
      <c r="B87" s="24"/>
      <c r="C87" s="28" t="s">
        <v>75</v>
      </c>
      <c r="D87" s="17">
        <v>3.2871962312433945E-4</v>
      </c>
      <c r="E87" s="18">
        <v>3.2346010915435004E-5</v>
      </c>
      <c r="F87" s="18">
        <v>8.165395438408592E-5</v>
      </c>
      <c r="G87" s="18">
        <v>1.4739787900895383E-4</v>
      </c>
      <c r="H87" s="18">
        <v>2.1314180363382168E-4</v>
      </c>
      <c r="I87" s="18">
        <v>2.7888572825868961E-4</v>
      </c>
      <c r="J87" s="18">
        <v>3.4462965288355749E-4</v>
      </c>
    </row>
    <row r="88" spans="2:10" x14ac:dyDescent="0.3">
      <c r="B88" s="24"/>
      <c r="C88" s="28" t="s">
        <v>76</v>
      </c>
      <c r="D88" s="17">
        <v>3.012376562706906E-3</v>
      </c>
      <c r="E88" s="18">
        <v>2.9641785377035958E-4</v>
      </c>
      <c r="F88" s="18">
        <v>7.4827433817639547E-4</v>
      </c>
      <c r="G88" s="18">
        <v>1.3507496507177768E-3</v>
      </c>
      <c r="H88" s="18">
        <v>1.9532249632591577E-3</v>
      </c>
      <c r="I88" s="18">
        <v>2.5557002758005392E-3</v>
      </c>
      <c r="J88" s="18">
        <v>3.1581755883419204E-3</v>
      </c>
    </row>
    <row r="89" spans="2:10" x14ac:dyDescent="0.3">
      <c r="B89" s="23" t="s">
        <v>30</v>
      </c>
      <c r="C89" s="28" t="s">
        <v>74</v>
      </c>
      <c r="D89" s="17">
        <v>6.0754552051505411E-3</v>
      </c>
      <c r="E89" s="18">
        <v>5.9782479218681327E-4</v>
      </c>
      <c r="F89" s="18">
        <v>1.5091430729593945E-3</v>
      </c>
      <c r="G89" s="18">
        <v>2.7242341139895026E-3</v>
      </c>
      <c r="H89" s="18">
        <v>3.9393251550196105E-3</v>
      </c>
      <c r="I89" s="18">
        <v>5.1544161960497192E-3</v>
      </c>
      <c r="J89" s="18">
        <v>6.3695072370798271E-3</v>
      </c>
    </row>
    <row r="90" spans="2:10" x14ac:dyDescent="0.3">
      <c r="B90" s="24"/>
      <c r="C90" s="28" t="s">
        <v>75</v>
      </c>
      <c r="D90" s="17">
        <v>9.2195861919346295E-4</v>
      </c>
      <c r="E90" s="18">
        <v>9.0720728128636756E-5</v>
      </c>
      <c r="F90" s="18">
        <v>2.2901452100765619E-4</v>
      </c>
      <c r="G90" s="18">
        <v>4.1340624484634882E-4</v>
      </c>
      <c r="H90" s="18">
        <v>5.9779796868504132E-4</v>
      </c>
      <c r="I90" s="18">
        <v>7.8218969252373397E-4</v>
      </c>
      <c r="J90" s="18">
        <v>9.6658141636242652E-4</v>
      </c>
    </row>
    <row r="91" spans="2:10" x14ac:dyDescent="0.3">
      <c r="B91" s="24"/>
      <c r="C91" s="28" t="s">
        <v>76</v>
      </c>
      <c r="D91" s="17">
        <v>6.3334218478504362E-3</v>
      </c>
      <c r="E91" s="18">
        <v>6.2320870982848298E-4</v>
      </c>
      <c r="F91" s="18">
        <v>1.5732219870060484E-3</v>
      </c>
      <c r="G91" s="18">
        <v>2.8399063565761359E-3</v>
      </c>
      <c r="H91" s="18">
        <v>4.1065907261462224E-3</v>
      </c>
      <c r="I91" s="18">
        <v>5.3732750957163102E-3</v>
      </c>
      <c r="J91" s="18">
        <v>6.6399594652863971E-3</v>
      </c>
    </row>
    <row r="92" spans="2:10" x14ac:dyDescent="0.3">
      <c r="B92" s="23" t="s">
        <v>46</v>
      </c>
      <c r="C92" s="28" t="s">
        <v>74</v>
      </c>
      <c r="D92" s="17">
        <v>1.3322740993208293E-2</v>
      </c>
      <c r="E92" s="18">
        <v>1.3109577137316961E-3</v>
      </c>
      <c r="F92" s="18">
        <v>3.3093688627129402E-3</v>
      </c>
      <c r="G92" s="18">
        <v>5.9739170613545989E-3</v>
      </c>
      <c r="H92" s="18">
        <v>8.6384652599962568E-3</v>
      </c>
      <c r="I92" s="18">
        <v>1.1303013458637916E-2</v>
      </c>
      <c r="J92" s="18">
        <v>1.3967561657279574E-2</v>
      </c>
    </row>
    <row r="93" spans="2:10" x14ac:dyDescent="0.3">
      <c r="B93" s="24"/>
      <c r="C93" s="28" t="s">
        <v>75</v>
      </c>
      <c r="D93" s="17">
        <v>2.7281526294463242E-3</v>
      </c>
      <c r="E93" s="18">
        <v>2.6845021873751833E-4</v>
      </c>
      <c r="F93" s="18">
        <v>6.7767311315446697E-4</v>
      </c>
      <c r="G93" s="18">
        <v>1.2233036390437318E-3</v>
      </c>
      <c r="H93" s="18">
        <v>1.7689341649329965E-3</v>
      </c>
      <c r="I93" s="18">
        <v>2.3145646908222617E-3</v>
      </c>
      <c r="J93" s="18">
        <v>2.8601952167115262E-3</v>
      </c>
    </row>
    <row r="94" spans="2:10" x14ac:dyDescent="0.3">
      <c r="B94" s="24"/>
      <c r="C94" s="28" t="s">
        <v>76</v>
      </c>
      <c r="D94" s="17">
        <v>1.3796008022228558E-2</v>
      </c>
      <c r="E94" s="18">
        <v>1.35752718938729E-3</v>
      </c>
      <c r="F94" s="18">
        <v>3.4269283927215737E-3</v>
      </c>
      <c r="G94" s="18">
        <v>6.1861299971672857E-3</v>
      </c>
      <c r="H94" s="18">
        <v>8.9453316016129963E-3</v>
      </c>
      <c r="I94" s="18">
        <v>1.170453320605871E-2</v>
      </c>
      <c r="J94" s="18">
        <v>1.4463734810504419E-2</v>
      </c>
    </row>
    <row r="95" spans="2:10" x14ac:dyDescent="0.3">
      <c r="B95" s="23" t="s">
        <v>50</v>
      </c>
      <c r="C95" s="28" t="s">
        <v>74</v>
      </c>
      <c r="D95" s="17">
        <v>2.9803862897253112E-2</v>
      </c>
      <c r="E95" s="18">
        <v>2.9327001090897063E-3</v>
      </c>
      <c r="F95" s="18">
        <v>7.4032795436776737E-3</v>
      </c>
      <c r="G95" s="18">
        <v>1.3364052123128297E-2</v>
      </c>
      <c r="H95" s="18">
        <v>1.9324824702578916E-2</v>
      </c>
      <c r="I95" s="18">
        <v>2.5285597282029542E-2</v>
      </c>
      <c r="J95" s="18">
        <v>3.1246369861480165E-2</v>
      </c>
    </row>
    <row r="96" spans="2:10" x14ac:dyDescent="0.3">
      <c r="B96" s="24"/>
      <c r="C96" s="28" t="s">
        <v>75</v>
      </c>
      <c r="D96" s="17">
        <v>8.3731477928495474E-3</v>
      </c>
      <c r="E96" s="18">
        <v>8.2391774281639549E-4</v>
      </c>
      <c r="F96" s="18">
        <v>2.0798899117438277E-3</v>
      </c>
      <c r="G96" s="18">
        <v>3.7545194703137372E-3</v>
      </c>
      <c r="H96" s="18">
        <v>5.4291490288836466E-3</v>
      </c>
      <c r="I96" s="18">
        <v>7.1037785874535561E-3</v>
      </c>
      <c r="J96" s="18">
        <v>8.7784081460234656E-3</v>
      </c>
    </row>
    <row r="97" spans="2:10" x14ac:dyDescent="0.3">
      <c r="B97" s="24"/>
      <c r="C97" s="28" t="s">
        <v>76</v>
      </c>
      <c r="D97" s="17">
        <v>3.0644324613172538E-2</v>
      </c>
      <c r="E97" s="18">
        <v>3.0154015419361778E-3</v>
      </c>
      <c r="F97" s="18">
        <v>7.6120502339120585E-3</v>
      </c>
      <c r="G97" s="18">
        <v>1.3740915156546567E-2</v>
      </c>
      <c r="H97" s="18">
        <v>1.9869780079181072E-2</v>
      </c>
      <c r="I97" s="18">
        <v>2.5998645001815583E-2</v>
      </c>
      <c r="J97" s="18">
        <v>3.2127509924450091E-2</v>
      </c>
    </row>
    <row r="98" spans="2:10" x14ac:dyDescent="0.3">
      <c r="B98" s="23" t="s">
        <v>53</v>
      </c>
      <c r="C98" s="28" t="s">
        <v>74</v>
      </c>
      <c r="D98" s="17">
        <v>5.4116949604633757E-2</v>
      </c>
      <c r="E98" s="18">
        <v>5.3251078410959619E-3</v>
      </c>
      <c r="F98" s="18">
        <v>1.3442650281791025E-2</v>
      </c>
      <c r="G98" s="18">
        <v>2.4266040202717779E-2</v>
      </c>
      <c r="H98" s="18">
        <v>3.508943012364453E-2</v>
      </c>
      <c r="I98" s="18">
        <v>4.5912820044571284E-2</v>
      </c>
      <c r="J98" s="18">
        <v>5.6736209965498031E-2</v>
      </c>
    </row>
    <row r="99" spans="2:10" x14ac:dyDescent="0.3">
      <c r="B99" s="24"/>
      <c r="C99" s="28" t="s">
        <v>75</v>
      </c>
      <c r="D99" s="17">
        <v>1.9423089790396704E-2</v>
      </c>
      <c r="E99" s="18">
        <v>1.9112320353750357E-3</v>
      </c>
      <c r="F99" s="18">
        <v>4.8246955039345412E-3</v>
      </c>
      <c r="G99" s="18">
        <v>8.7093134620138818E-3</v>
      </c>
      <c r="H99" s="18">
        <v>1.2593931420093222E-2</v>
      </c>
      <c r="I99" s="18">
        <v>1.6478549378172565E-2</v>
      </c>
      <c r="J99" s="18">
        <v>2.0363167336251903E-2</v>
      </c>
    </row>
    <row r="100" spans="2:10" x14ac:dyDescent="0.3">
      <c r="B100" s="24"/>
      <c r="C100" s="28" t="s">
        <v>76</v>
      </c>
      <c r="D100" s="17">
        <v>5.5337205472310254E-2</v>
      </c>
      <c r="E100" s="18">
        <v>5.4451810184753292E-3</v>
      </c>
      <c r="F100" s="18">
        <v>1.3745761839321868E-2</v>
      </c>
      <c r="G100" s="18">
        <v>2.4813202933783918E-2</v>
      </c>
      <c r="H100" s="18">
        <v>3.5880644028245964E-2</v>
      </c>
      <c r="I100" s="18">
        <v>4.6948085122708025E-2</v>
      </c>
      <c r="J100" s="18">
        <v>5.8015526217170071E-2</v>
      </c>
    </row>
    <row r="101" spans="2:10" x14ac:dyDescent="0.3">
      <c r="B101" s="23" t="s">
        <v>55</v>
      </c>
      <c r="C101" s="28" t="s">
        <v>74</v>
      </c>
      <c r="D101" s="17">
        <v>0.13280198790648476</v>
      </c>
      <c r="E101" s="18">
        <v>1.3067715609998101E-2</v>
      </c>
      <c r="F101" s="18">
        <v>3.2988013795970814E-2</v>
      </c>
      <c r="G101" s="18">
        <v>5.9548411377267768E-2</v>
      </c>
      <c r="H101" s="18">
        <v>8.6108808958564709E-2</v>
      </c>
      <c r="I101" s="18">
        <v>0.11266920653986168</v>
      </c>
      <c r="J101" s="18">
        <v>0.13922960412115862</v>
      </c>
    </row>
    <row r="102" spans="2:10" x14ac:dyDescent="0.3">
      <c r="B102" s="24"/>
      <c r="C102" s="28" t="s">
        <v>75</v>
      </c>
      <c r="D102" s="17">
        <v>7.0963904905816805E-2</v>
      </c>
      <c r="E102" s="18">
        <v>6.982848242732374E-3</v>
      </c>
      <c r="F102" s="18">
        <v>1.7627433978604896E-2</v>
      </c>
      <c r="G102" s="18">
        <v>3.1820214959768257E-2</v>
      </c>
      <c r="H102" s="18">
        <v>4.6012995940931611E-2</v>
      </c>
      <c r="I102" s="18">
        <v>6.0205776922094979E-2</v>
      </c>
      <c r="J102" s="18">
        <v>7.4398557903258333E-2</v>
      </c>
    </row>
    <row r="103" spans="2:10" x14ac:dyDescent="0.3">
      <c r="B103" s="24"/>
      <c r="C103" s="28" t="s">
        <v>76</v>
      </c>
      <c r="D103" s="17">
        <v>0.13459858057324164</v>
      </c>
      <c r="E103" s="18">
        <v>1.3244500328406978E-2</v>
      </c>
      <c r="F103" s="18">
        <v>3.3434287414393228E-2</v>
      </c>
      <c r="G103" s="18">
        <v>6.0354003529041557E-2</v>
      </c>
      <c r="H103" s="18">
        <v>8.7273719643689879E-2</v>
      </c>
      <c r="I103" s="18">
        <v>0.11419343575833822</v>
      </c>
      <c r="J103" s="18">
        <v>0.14111315187298654</v>
      </c>
    </row>
    <row r="104" spans="2:10" x14ac:dyDescent="0.3">
      <c r="B104" s="23" t="s">
        <v>58</v>
      </c>
      <c r="C104" s="28" t="s">
        <v>74</v>
      </c>
      <c r="D104" s="17">
        <v>0.48478451216981072</v>
      </c>
      <c r="E104" s="18">
        <v>4.7702795997509373E-2</v>
      </c>
      <c r="F104" s="18">
        <v>0.12042047282298099</v>
      </c>
      <c r="G104" s="18">
        <v>0.21737737525694314</v>
      </c>
      <c r="H104" s="18">
        <v>0.31433427769090527</v>
      </c>
      <c r="I104" s="18">
        <v>0.41129118012486743</v>
      </c>
      <c r="J104" s="18">
        <v>0.50824808255882958</v>
      </c>
    </row>
    <row r="105" spans="2:10" x14ac:dyDescent="0.3">
      <c r="B105" s="24"/>
      <c r="C105" s="28" t="s">
        <v>75</v>
      </c>
      <c r="D105" s="17">
        <v>0.47914846422931778</v>
      </c>
      <c r="E105" s="18">
        <v>4.7148208880164869E-2</v>
      </c>
      <c r="F105" s="18">
        <v>0.11902047851456254</v>
      </c>
      <c r="G105" s="18">
        <v>0.21485017136042611</v>
      </c>
      <c r="H105" s="18">
        <v>0.31067986420628962</v>
      </c>
      <c r="I105" s="18">
        <v>0.40650955705215325</v>
      </c>
      <c r="J105" s="18">
        <v>0.50233924989801682</v>
      </c>
    </row>
    <row r="106" spans="2:10" x14ac:dyDescent="0.3">
      <c r="B106" s="24"/>
      <c r="C106" s="28" t="s">
        <v>76</v>
      </c>
      <c r="D106" s="17">
        <v>0.48491069336701209</v>
      </c>
      <c r="E106" s="18">
        <v>4.7715212227313987E-2</v>
      </c>
      <c r="F106" s="18">
        <v>0.12045181623236581</v>
      </c>
      <c r="G106" s="18">
        <v>0.21743395490576822</v>
      </c>
      <c r="H106" s="18">
        <v>0.31441609357917061</v>
      </c>
      <c r="I106" s="18">
        <v>0.4113982322525731</v>
      </c>
      <c r="J106" s="18">
        <v>0.50838037092597543</v>
      </c>
    </row>
    <row r="107" spans="2:10" x14ac:dyDescent="0.3">
      <c r="B107" s="23" t="s">
        <v>60</v>
      </c>
      <c r="C107" s="28" t="s">
        <v>74</v>
      </c>
      <c r="D107" s="17">
        <v>1</v>
      </c>
      <c r="E107" s="18">
        <v>9.8400000000000001E-2</v>
      </c>
      <c r="F107" s="18">
        <v>0.24840000000000001</v>
      </c>
      <c r="G107" s="18">
        <v>0.44840000000000002</v>
      </c>
      <c r="H107" s="18">
        <v>0.64839999999999998</v>
      </c>
      <c r="I107" s="18">
        <v>0.84840000000000004</v>
      </c>
      <c r="J107" s="18">
        <v>1.0484</v>
      </c>
    </row>
    <row r="108" spans="2:10" x14ac:dyDescent="0.3">
      <c r="B108" s="24"/>
      <c r="C108" s="28" t="s">
        <v>75</v>
      </c>
      <c r="D108" s="17">
        <v>1</v>
      </c>
      <c r="E108" s="18">
        <v>9.8400000000000001E-2</v>
      </c>
      <c r="F108" s="18">
        <v>0.24840000000000001</v>
      </c>
      <c r="G108" s="18">
        <v>0.44840000000000002</v>
      </c>
      <c r="H108" s="18">
        <v>0.64839999999999998</v>
      </c>
      <c r="I108" s="18">
        <v>0.84840000000000004</v>
      </c>
      <c r="J108" s="18">
        <v>1.0484</v>
      </c>
    </row>
    <row r="109" spans="2:10" x14ac:dyDescent="0.3">
      <c r="B109" s="25"/>
      <c r="C109" s="28" t="s">
        <v>76</v>
      </c>
      <c r="D109" s="17">
        <v>1</v>
      </c>
      <c r="E109" s="18">
        <v>9.8400000000000001E-2</v>
      </c>
      <c r="F109" s="18">
        <v>0.24840000000000001</v>
      </c>
      <c r="G109" s="18">
        <v>0.44840000000000002</v>
      </c>
      <c r="H109" s="18">
        <v>0.64839999999999998</v>
      </c>
      <c r="I109" s="18">
        <v>0.84840000000000004</v>
      </c>
      <c r="J109" s="18">
        <v>1.0484</v>
      </c>
    </row>
    <row r="112" spans="2:10" x14ac:dyDescent="0.3">
      <c r="B112" s="26" t="s">
        <v>88</v>
      </c>
    </row>
    <row r="113" spans="2:10" x14ac:dyDescent="0.3">
      <c r="B113" s="1"/>
      <c r="C113" s="32"/>
      <c r="E113" s="117" t="s">
        <v>0</v>
      </c>
      <c r="F113" s="117"/>
      <c r="G113" s="117"/>
      <c r="H113" s="117"/>
      <c r="I113" s="117"/>
      <c r="J113" s="117"/>
    </row>
    <row r="114" spans="2:10" ht="14.4" customHeight="1" x14ac:dyDescent="0.3">
      <c r="B114" s="1"/>
      <c r="C114" s="32"/>
      <c r="E114" s="79">
        <v>9.8400000000000001E-2</v>
      </c>
      <c r="F114" s="79">
        <v>0.24840000000000001</v>
      </c>
      <c r="G114" s="79">
        <v>0.44840000000000002</v>
      </c>
      <c r="H114" s="79">
        <v>0.64839999999999998</v>
      </c>
      <c r="I114" s="79">
        <v>0.84840000000000004</v>
      </c>
      <c r="J114" s="79">
        <v>1.0484</v>
      </c>
    </row>
    <row r="115" spans="2:10" x14ac:dyDescent="0.3">
      <c r="B115" s="21" t="s">
        <v>1</v>
      </c>
      <c r="C115" s="22" t="s">
        <v>73</v>
      </c>
      <c r="D115" s="5" t="s">
        <v>2</v>
      </c>
      <c r="E115" s="3" t="s">
        <v>3</v>
      </c>
      <c r="F115" s="3" t="s">
        <v>4</v>
      </c>
      <c r="G115" s="3" t="s">
        <v>5</v>
      </c>
      <c r="H115" s="3" t="s">
        <v>6</v>
      </c>
      <c r="I115" s="3" t="s">
        <v>7</v>
      </c>
      <c r="J115" s="3" t="s">
        <v>8</v>
      </c>
    </row>
    <row r="116" spans="2:10" x14ac:dyDescent="0.3">
      <c r="B116" s="23" t="s">
        <v>13</v>
      </c>
      <c r="C116" s="28" t="s">
        <v>74</v>
      </c>
      <c r="D116" s="80">
        <v>9.2834504239293304E-4</v>
      </c>
      <c r="E116" s="18">
        <f>$D116*E$114</f>
        <v>9.1349152171464607E-5</v>
      </c>
      <c r="F116" s="18">
        <f t="shared" ref="F116:J131" si="0">$D116*F$114</f>
        <v>2.3060090853040458E-4</v>
      </c>
      <c r="G116" s="18">
        <f t="shared" si="0"/>
        <v>4.1626991700899118E-4</v>
      </c>
      <c r="H116" s="18">
        <f t="shared" si="0"/>
        <v>6.0193892548757774E-4</v>
      </c>
      <c r="I116" s="18">
        <f t="shared" si="0"/>
        <v>7.8760793396616445E-4</v>
      </c>
      <c r="J116" s="18">
        <f t="shared" si="0"/>
        <v>9.7327694244475095E-4</v>
      </c>
    </row>
    <row r="117" spans="2:10" x14ac:dyDescent="0.3">
      <c r="B117" s="24"/>
      <c r="C117" s="28" t="s">
        <v>75</v>
      </c>
      <c r="D117" s="81">
        <v>3.3318236697694019E-5</v>
      </c>
      <c r="E117" s="18">
        <f t="shared" ref="E117:J145" si="1">$D117*E$114</f>
        <v>3.2785144910530914E-6</v>
      </c>
      <c r="F117" s="18">
        <f t="shared" si="0"/>
        <v>8.2762499957071953E-6</v>
      </c>
      <c r="G117" s="18">
        <f t="shared" si="0"/>
        <v>1.4939897335245999E-5</v>
      </c>
      <c r="H117" s="18">
        <f t="shared" si="0"/>
        <v>2.1603544674784801E-5</v>
      </c>
      <c r="I117" s="18">
        <f t="shared" si="0"/>
        <v>2.8267192014323606E-5</v>
      </c>
      <c r="J117" s="18">
        <f t="shared" si="0"/>
        <v>3.4930839353862408E-5</v>
      </c>
    </row>
    <row r="118" spans="2:10" x14ac:dyDescent="0.3">
      <c r="B118" s="24"/>
      <c r="C118" s="28" t="s">
        <v>76</v>
      </c>
      <c r="D118" s="17">
        <v>9.5063597890930151E-4</v>
      </c>
      <c r="E118" s="18">
        <f t="shared" si="1"/>
        <v>9.354258032467527E-5</v>
      </c>
      <c r="F118" s="18">
        <f t="shared" si="0"/>
        <v>2.3613797716107052E-4</v>
      </c>
      <c r="G118" s="18">
        <f t="shared" si="0"/>
        <v>4.2626517294293081E-4</v>
      </c>
      <c r="H118" s="18">
        <f t="shared" si="0"/>
        <v>6.1639236872479105E-4</v>
      </c>
      <c r="I118" s="18">
        <f t="shared" si="0"/>
        <v>8.0651956450665139E-4</v>
      </c>
      <c r="J118" s="18">
        <f t="shared" si="0"/>
        <v>9.9664676028851174E-4</v>
      </c>
    </row>
    <row r="119" spans="2:10" x14ac:dyDescent="0.3">
      <c r="B119" s="23" t="s">
        <v>19</v>
      </c>
      <c r="C119" s="28" t="s">
        <v>74</v>
      </c>
      <c r="D119" s="29">
        <v>6.0322720661556764E-3</v>
      </c>
      <c r="E119" s="18">
        <f t="shared" si="1"/>
        <v>5.9357557130971855E-4</v>
      </c>
      <c r="F119" s="18">
        <f t="shared" si="0"/>
        <v>1.4984163812330701E-3</v>
      </c>
      <c r="G119" s="18">
        <f t="shared" si="0"/>
        <v>2.7048707944642056E-3</v>
      </c>
      <c r="H119" s="18">
        <f t="shared" si="0"/>
        <v>3.9113252076953403E-3</v>
      </c>
      <c r="I119" s="18">
        <f t="shared" si="0"/>
        <v>5.1177796209264763E-3</v>
      </c>
      <c r="J119" s="18">
        <f t="shared" si="0"/>
        <v>6.3242340341576114E-3</v>
      </c>
    </row>
    <row r="120" spans="2:10" x14ac:dyDescent="0.3">
      <c r="B120" s="24"/>
      <c r="C120" s="28" t="s">
        <v>75</v>
      </c>
      <c r="D120" s="17">
        <v>5.3098004686275176E-4</v>
      </c>
      <c r="E120" s="18">
        <f t="shared" si="1"/>
        <v>5.2248436611294772E-5</v>
      </c>
      <c r="F120" s="18">
        <f t="shared" si="0"/>
        <v>1.3189544364070754E-4</v>
      </c>
      <c r="G120" s="18">
        <f t="shared" si="0"/>
        <v>2.3809145301325791E-4</v>
      </c>
      <c r="H120" s="18">
        <f t="shared" si="0"/>
        <v>3.4428746238580822E-4</v>
      </c>
      <c r="I120" s="18">
        <f t="shared" si="0"/>
        <v>4.5048347175835862E-4</v>
      </c>
      <c r="J120" s="18">
        <f t="shared" si="0"/>
        <v>5.566794811309089E-4</v>
      </c>
    </row>
    <row r="121" spans="2:10" x14ac:dyDescent="0.3">
      <c r="B121" s="24"/>
      <c r="C121" s="28" t="s">
        <v>76</v>
      </c>
      <c r="D121" s="17">
        <v>6.1373525332280307E-3</v>
      </c>
      <c r="E121" s="18">
        <f t="shared" si="1"/>
        <v>6.0391548926963827E-4</v>
      </c>
      <c r="F121" s="18">
        <f t="shared" si="0"/>
        <v>1.5245183692538429E-3</v>
      </c>
      <c r="G121" s="18">
        <f t="shared" si="0"/>
        <v>2.7519888758994492E-3</v>
      </c>
      <c r="H121" s="18">
        <f t="shared" si="0"/>
        <v>3.979459382545055E-3</v>
      </c>
      <c r="I121" s="18">
        <f t="shared" si="0"/>
        <v>5.206929889190662E-3</v>
      </c>
      <c r="J121" s="18">
        <f t="shared" si="0"/>
        <v>6.4344003958362673E-3</v>
      </c>
    </row>
    <row r="122" spans="2:10" x14ac:dyDescent="0.3">
      <c r="B122" s="23" t="s">
        <v>24</v>
      </c>
      <c r="C122" s="28" t="s">
        <v>74</v>
      </c>
      <c r="D122" s="17">
        <v>6.1132483203476112E-3</v>
      </c>
      <c r="E122" s="18">
        <f t="shared" si="1"/>
        <v>6.0154363472220498E-4</v>
      </c>
      <c r="F122" s="18">
        <f t="shared" si="0"/>
        <v>1.5185308827743466E-3</v>
      </c>
      <c r="G122" s="18">
        <f t="shared" si="0"/>
        <v>2.741180546843869E-3</v>
      </c>
      <c r="H122" s="18">
        <f t="shared" si="0"/>
        <v>3.9638302109133907E-3</v>
      </c>
      <c r="I122" s="18">
        <f t="shared" si="0"/>
        <v>5.1864798749829133E-3</v>
      </c>
      <c r="J122" s="18">
        <f t="shared" si="0"/>
        <v>6.4091295390524359E-3</v>
      </c>
    </row>
    <row r="123" spans="2:10" x14ac:dyDescent="0.3">
      <c r="B123" s="24"/>
      <c r="C123" s="28" t="s">
        <v>75</v>
      </c>
      <c r="D123" s="17">
        <v>5.4159413632875466E-4</v>
      </c>
      <c r="E123" s="18">
        <f t="shared" si="1"/>
        <v>5.3292863014749457E-5</v>
      </c>
      <c r="F123" s="18">
        <f t="shared" si="0"/>
        <v>1.3453198346406267E-4</v>
      </c>
      <c r="G123" s="18">
        <f t="shared" si="0"/>
        <v>2.428508107298136E-4</v>
      </c>
      <c r="H123" s="18">
        <f t="shared" si="0"/>
        <v>3.511696379955645E-4</v>
      </c>
      <c r="I123" s="18">
        <f t="shared" si="0"/>
        <v>4.5948846526131545E-4</v>
      </c>
      <c r="J123" s="18">
        <f t="shared" si="0"/>
        <v>5.6780729252706641E-4</v>
      </c>
    </row>
    <row r="124" spans="2:10" x14ac:dyDescent="0.3">
      <c r="B124" s="24"/>
      <c r="C124" s="28" t="s">
        <v>76</v>
      </c>
      <c r="D124" s="17">
        <v>6.2194486826758801E-3</v>
      </c>
      <c r="E124" s="18">
        <f t="shared" si="1"/>
        <v>6.1199375037530662E-4</v>
      </c>
      <c r="F124" s="18">
        <f t="shared" si="0"/>
        <v>1.5449110527766886E-3</v>
      </c>
      <c r="G124" s="18">
        <f t="shared" si="0"/>
        <v>2.7888007893118647E-3</v>
      </c>
      <c r="H124" s="18">
        <f t="shared" si="0"/>
        <v>4.0326905258470406E-3</v>
      </c>
      <c r="I124" s="18">
        <f t="shared" si="0"/>
        <v>5.276580262382217E-3</v>
      </c>
      <c r="J124" s="18">
        <f t="shared" si="0"/>
        <v>6.5204699989173925E-3</v>
      </c>
    </row>
    <row r="125" spans="2:10" x14ac:dyDescent="0.3">
      <c r="B125" s="23" t="s">
        <v>30</v>
      </c>
      <c r="C125" s="28" t="s">
        <v>74</v>
      </c>
      <c r="D125" s="17">
        <v>1.1710478824676704E-2</v>
      </c>
      <c r="E125" s="18">
        <f t="shared" si="1"/>
        <v>1.1523111163481876E-3</v>
      </c>
      <c r="F125" s="18">
        <f t="shared" si="0"/>
        <v>2.9088829400496933E-3</v>
      </c>
      <c r="G125" s="18">
        <f t="shared" si="0"/>
        <v>5.2509787049850338E-3</v>
      </c>
      <c r="H125" s="18">
        <f t="shared" si="0"/>
        <v>7.5930744699203743E-3</v>
      </c>
      <c r="I125" s="18">
        <f t="shared" si="0"/>
        <v>9.9351702348557166E-3</v>
      </c>
      <c r="J125" s="18">
        <f t="shared" si="0"/>
        <v>1.2277265999791056E-2</v>
      </c>
    </row>
    <row r="126" spans="2:10" x14ac:dyDescent="0.3">
      <c r="B126" s="24"/>
      <c r="C126" s="28" t="s">
        <v>75</v>
      </c>
      <c r="D126" s="17">
        <v>1.4244830173615825E-3</v>
      </c>
      <c r="E126" s="18">
        <f t="shared" si="1"/>
        <v>1.4016912890837973E-4</v>
      </c>
      <c r="F126" s="18">
        <f t="shared" si="0"/>
        <v>3.5384158151261711E-4</v>
      </c>
      <c r="G126" s="18">
        <f t="shared" si="0"/>
        <v>6.3873818498493364E-4</v>
      </c>
      <c r="H126" s="18">
        <f t="shared" si="0"/>
        <v>9.2363478845725001E-4</v>
      </c>
      <c r="I126" s="18">
        <f t="shared" si="0"/>
        <v>1.2085313919295666E-3</v>
      </c>
      <c r="J126" s="18">
        <f>$D126*J$114</f>
        <v>1.4934279954018832E-3</v>
      </c>
    </row>
    <row r="127" spans="2:10" x14ac:dyDescent="0.3">
      <c r="B127" s="24"/>
      <c r="C127" s="28" t="s">
        <v>76</v>
      </c>
      <c r="D127" s="17">
        <v>1.1886539384043392E-2</v>
      </c>
      <c r="E127" s="18">
        <f t="shared" si="1"/>
        <v>1.1696354753898699E-3</v>
      </c>
      <c r="F127" s="18">
        <f t="shared" si="0"/>
        <v>2.9526163829963789E-3</v>
      </c>
      <c r="G127" s="18">
        <f t="shared" si="0"/>
        <v>5.3299242598050574E-3</v>
      </c>
      <c r="H127" s="18">
        <f t="shared" si="0"/>
        <v>7.7072321366137356E-3</v>
      </c>
      <c r="I127" s="18">
        <f t="shared" si="0"/>
        <v>1.0084540013422415E-2</v>
      </c>
      <c r="J127" s="18">
        <f t="shared" si="0"/>
        <v>1.2461847890231092E-2</v>
      </c>
    </row>
    <row r="128" spans="2:10" x14ac:dyDescent="0.3">
      <c r="B128" s="23" t="s">
        <v>46</v>
      </c>
      <c r="C128" s="28" t="s">
        <v>74</v>
      </c>
      <c r="D128" s="17">
        <v>2.3085058717135794E-2</v>
      </c>
      <c r="E128" s="18">
        <f t="shared" si="1"/>
        <v>2.271569777766162E-3</v>
      </c>
      <c r="F128" s="18">
        <f t="shared" si="0"/>
        <v>5.7343285853365313E-3</v>
      </c>
      <c r="G128" s="18">
        <f t="shared" si="0"/>
        <v>1.035134032876369E-2</v>
      </c>
      <c r="H128" s="18">
        <f t="shared" si="0"/>
        <v>1.4968352072190848E-2</v>
      </c>
      <c r="I128" s="18">
        <f t="shared" si="0"/>
        <v>1.9585363815618009E-2</v>
      </c>
      <c r="J128" s="18">
        <f t="shared" si="0"/>
        <v>2.4202375559045166E-2</v>
      </c>
    </row>
    <row r="129" spans="2:10" x14ac:dyDescent="0.3">
      <c r="B129" s="24"/>
      <c r="C129" s="28" t="s">
        <v>75</v>
      </c>
      <c r="D129" s="17">
        <v>3.9373979114744519E-3</v>
      </c>
      <c r="E129" s="18">
        <f t="shared" si="1"/>
        <v>3.8743995448908608E-4</v>
      </c>
      <c r="F129" s="18">
        <f t="shared" si="0"/>
        <v>9.7804964121025388E-4</v>
      </c>
      <c r="G129" s="18">
        <f t="shared" si="0"/>
        <v>1.7655292235051444E-3</v>
      </c>
      <c r="H129" s="18">
        <f t="shared" si="0"/>
        <v>2.5530088058000346E-3</v>
      </c>
      <c r="I129" s="18">
        <f t="shared" si="0"/>
        <v>3.3404883880949251E-3</v>
      </c>
      <c r="J129" s="18">
        <f t="shared" si="0"/>
        <v>4.1279679703898151E-3</v>
      </c>
    </row>
    <row r="130" spans="2:10" x14ac:dyDescent="0.3">
      <c r="B130" s="24"/>
      <c r="C130" s="28" t="s">
        <v>76</v>
      </c>
      <c r="D130" s="17">
        <v>2.337442283757862E-2</v>
      </c>
      <c r="E130" s="18">
        <f t="shared" si="1"/>
        <v>2.3000432072177363E-3</v>
      </c>
      <c r="F130" s="18">
        <f t="shared" si="0"/>
        <v>5.8062066328545296E-3</v>
      </c>
      <c r="G130" s="18">
        <f t="shared" si="0"/>
        <v>1.0481091200370253E-2</v>
      </c>
      <c r="H130" s="18">
        <f t="shared" si="0"/>
        <v>1.5155975767885977E-2</v>
      </c>
      <c r="I130" s="18">
        <f t="shared" si="0"/>
        <v>1.9830860335401702E-2</v>
      </c>
      <c r="J130" s="18">
        <f t="shared" si="0"/>
        <v>2.4505744902917424E-2</v>
      </c>
    </row>
    <row r="131" spans="2:10" x14ac:dyDescent="0.3">
      <c r="B131" s="23" t="s">
        <v>50</v>
      </c>
      <c r="C131" s="28" t="s">
        <v>74</v>
      </c>
      <c r="D131" s="17">
        <v>4.6111132726045827E-2</v>
      </c>
      <c r="E131" s="18">
        <f t="shared" si="1"/>
        <v>4.5373354602429097E-3</v>
      </c>
      <c r="F131" s="18">
        <f t="shared" si="0"/>
        <v>1.1454005369149783E-2</v>
      </c>
      <c r="G131" s="18">
        <f t="shared" si="0"/>
        <v>2.0676231914358949E-2</v>
      </c>
      <c r="H131" s="18">
        <f t="shared" si="0"/>
        <v>2.9898458459568112E-2</v>
      </c>
      <c r="I131" s="18">
        <f t="shared" si="0"/>
        <v>3.9120685004777278E-2</v>
      </c>
      <c r="J131" s="18">
        <f t="shared" si="0"/>
        <v>4.8342911549986448E-2</v>
      </c>
    </row>
    <row r="132" spans="2:10" x14ac:dyDescent="0.3">
      <c r="B132" s="24"/>
      <c r="C132" s="28" t="s">
        <v>75</v>
      </c>
      <c r="D132" s="17">
        <v>1.1247660853409336E-2</v>
      </c>
      <c r="E132" s="18">
        <f t="shared" si="1"/>
        <v>1.1067698279754786E-3</v>
      </c>
      <c r="F132" s="18">
        <f t="shared" si="1"/>
        <v>2.7939189559868793E-3</v>
      </c>
      <c r="G132" s="18">
        <f t="shared" si="1"/>
        <v>5.0434511266687467E-3</v>
      </c>
      <c r="H132" s="18">
        <f t="shared" si="1"/>
        <v>7.2929832973506132E-3</v>
      </c>
      <c r="I132" s="18">
        <f t="shared" si="1"/>
        <v>9.5425154680324805E-3</v>
      </c>
      <c r="J132" s="18">
        <f t="shared" si="1"/>
        <v>1.1792047638714347E-2</v>
      </c>
    </row>
    <row r="133" spans="2:10" x14ac:dyDescent="0.3">
      <c r="B133" s="24"/>
      <c r="C133" s="28" t="s">
        <v>76</v>
      </c>
      <c r="D133" s="17">
        <v>4.6567101129826656E-2</v>
      </c>
      <c r="E133" s="18">
        <f t="shared" si="1"/>
        <v>4.5822027511749431E-3</v>
      </c>
      <c r="F133" s="18">
        <f t="shared" si="1"/>
        <v>1.1567267920648942E-2</v>
      </c>
      <c r="G133" s="18">
        <f t="shared" si="1"/>
        <v>2.0880688146614274E-2</v>
      </c>
      <c r="H133" s="18">
        <f t="shared" si="1"/>
        <v>3.0194108372579603E-2</v>
      </c>
      <c r="I133" s="18">
        <f t="shared" si="1"/>
        <v>3.9507528598544936E-2</v>
      </c>
      <c r="J133" s="18">
        <f t="shared" si="1"/>
        <v>4.8820948824510269E-2</v>
      </c>
    </row>
    <row r="134" spans="2:10" x14ac:dyDescent="0.3">
      <c r="B134" s="23" t="s">
        <v>53</v>
      </c>
      <c r="C134" s="28" t="s">
        <v>74</v>
      </c>
      <c r="D134" s="17">
        <v>7.6691367757655227E-2</v>
      </c>
      <c r="E134" s="18">
        <f t="shared" si="1"/>
        <v>7.5464305873532743E-3</v>
      </c>
      <c r="F134" s="18">
        <f t="shared" si="1"/>
        <v>1.9050135751001559E-2</v>
      </c>
      <c r="G134" s="18">
        <f t="shared" si="1"/>
        <v>3.4388409302532605E-2</v>
      </c>
      <c r="H134" s="18">
        <f t="shared" si="1"/>
        <v>4.9726682854063647E-2</v>
      </c>
      <c r="I134" s="18">
        <f t="shared" si="1"/>
        <v>6.5064956405594704E-2</v>
      </c>
      <c r="J134" s="18">
        <f t="shared" si="1"/>
        <v>8.0403229957125746E-2</v>
      </c>
    </row>
    <row r="135" spans="2:10" x14ac:dyDescent="0.3">
      <c r="B135" s="24"/>
      <c r="C135" s="28" t="s">
        <v>75</v>
      </c>
      <c r="D135" s="17">
        <v>2.4681086007825936E-2</v>
      </c>
      <c r="E135" s="18">
        <f t="shared" si="1"/>
        <v>2.4286188631700723E-3</v>
      </c>
      <c r="F135" s="18">
        <f t="shared" si="1"/>
        <v>6.1307817643439623E-3</v>
      </c>
      <c r="G135" s="18">
        <f t="shared" si="1"/>
        <v>1.1066998965909149E-2</v>
      </c>
      <c r="H135" s="18">
        <f t="shared" si="1"/>
        <v>1.6003216167474337E-2</v>
      </c>
      <c r="I135" s="18">
        <f t="shared" si="1"/>
        <v>2.0939433369039525E-2</v>
      </c>
      <c r="J135" s="18">
        <f t="shared" si="1"/>
        <v>2.5875650570604709E-2</v>
      </c>
    </row>
    <row r="136" spans="2:10" x14ac:dyDescent="0.3">
      <c r="B136" s="24"/>
      <c r="C136" s="28" t="s">
        <v>76</v>
      </c>
      <c r="D136" s="17">
        <v>7.7293702664020594E-2</v>
      </c>
      <c r="E136" s="18">
        <f t="shared" si="1"/>
        <v>7.6057003421396265E-3</v>
      </c>
      <c r="F136" s="18">
        <f t="shared" si="1"/>
        <v>1.9199755741742715E-2</v>
      </c>
      <c r="G136" s="18">
        <f t="shared" si="1"/>
        <v>3.4658496274546834E-2</v>
      </c>
      <c r="H136" s="18">
        <f t="shared" si="1"/>
        <v>5.0117236807350952E-2</v>
      </c>
      <c r="I136" s="18">
        <f t="shared" si="1"/>
        <v>6.5575977340155078E-2</v>
      </c>
      <c r="J136" s="18">
        <f t="shared" si="1"/>
        <v>8.1034717872959197E-2</v>
      </c>
    </row>
    <row r="137" spans="2:10" x14ac:dyDescent="0.3">
      <c r="B137" s="23" t="s">
        <v>55</v>
      </c>
      <c r="C137" s="28" t="s">
        <v>74</v>
      </c>
      <c r="D137" s="17">
        <v>0.16362777895918426</v>
      </c>
      <c r="E137" s="18">
        <f t="shared" si="1"/>
        <v>1.6100973449583732E-2</v>
      </c>
      <c r="F137" s="18">
        <f t="shared" si="1"/>
        <v>4.064514029346137E-2</v>
      </c>
      <c r="G137" s="18">
        <f t="shared" si="1"/>
        <v>7.3370696085298226E-2</v>
      </c>
      <c r="H137" s="18">
        <f t="shared" si="1"/>
        <v>0.10609625187713508</v>
      </c>
      <c r="I137" s="18">
        <f t="shared" si="1"/>
        <v>0.13882180766897192</v>
      </c>
      <c r="J137" s="18">
        <f t="shared" si="1"/>
        <v>0.17154736346080879</v>
      </c>
    </row>
    <row r="138" spans="2:10" x14ac:dyDescent="0.3">
      <c r="B138" s="24"/>
      <c r="C138" s="28" t="s">
        <v>75</v>
      </c>
      <c r="D138" s="17">
        <v>8.2325177308281372E-2</v>
      </c>
      <c r="E138" s="18">
        <f t="shared" si="1"/>
        <v>8.1007974471348863E-3</v>
      </c>
      <c r="F138" s="18">
        <f t="shared" si="1"/>
        <v>2.0449574043377095E-2</v>
      </c>
      <c r="G138" s="18">
        <f t="shared" si="1"/>
        <v>3.691460950503337E-2</v>
      </c>
      <c r="H138" s="18">
        <f t="shared" si="1"/>
        <v>5.3379644966689642E-2</v>
      </c>
      <c r="I138" s="18">
        <f t="shared" si="1"/>
        <v>6.984468042834592E-2</v>
      </c>
      <c r="J138" s="18">
        <f t="shared" si="1"/>
        <v>8.6309715890002192E-2</v>
      </c>
    </row>
    <row r="139" spans="2:10" x14ac:dyDescent="0.3">
      <c r="B139" s="24"/>
      <c r="C139" s="28" t="s">
        <v>76</v>
      </c>
      <c r="D139" s="17">
        <v>0.16439005646968435</v>
      </c>
      <c r="E139" s="18">
        <f t="shared" si="1"/>
        <v>1.6175981556616939E-2</v>
      </c>
      <c r="F139" s="18">
        <f t="shared" si="1"/>
        <v>4.0834490027069598E-2</v>
      </c>
      <c r="G139" s="18">
        <f t="shared" si="1"/>
        <v>7.3712501321006471E-2</v>
      </c>
      <c r="H139" s="18">
        <f t="shared" si="1"/>
        <v>0.10659051261494333</v>
      </c>
      <c r="I139" s="18">
        <f t="shared" si="1"/>
        <v>0.1394685239088802</v>
      </c>
      <c r="J139" s="18">
        <f t="shared" si="1"/>
        <v>0.17234653520281706</v>
      </c>
    </row>
    <row r="140" spans="2:10" x14ac:dyDescent="0.3">
      <c r="B140" s="23" t="s">
        <v>58</v>
      </c>
      <c r="C140" s="28" t="s">
        <v>74</v>
      </c>
      <c r="D140" s="17">
        <v>0.48677401785102059</v>
      </c>
      <c r="E140" s="18">
        <f t="shared" si="1"/>
        <v>4.7898563356540427E-2</v>
      </c>
      <c r="F140" s="18">
        <f t="shared" si="1"/>
        <v>0.12091466603419351</v>
      </c>
      <c r="G140" s="18">
        <f t="shared" si="1"/>
        <v>0.21826946960439764</v>
      </c>
      <c r="H140" s="18">
        <f t="shared" si="1"/>
        <v>0.31562427317460173</v>
      </c>
      <c r="I140" s="18">
        <f t="shared" si="1"/>
        <v>0.41297907674480588</v>
      </c>
      <c r="J140" s="18">
        <f t="shared" si="1"/>
        <v>0.51033388031501004</v>
      </c>
    </row>
    <row r="141" spans="2:10" x14ac:dyDescent="0.3">
      <c r="B141" s="24"/>
      <c r="C141" s="28" t="s">
        <v>75</v>
      </c>
      <c r="D141" s="17">
        <v>0.48045312281702662</v>
      </c>
      <c r="E141" s="18">
        <f t="shared" si="1"/>
        <v>4.7276587285195418E-2</v>
      </c>
      <c r="F141" s="18">
        <f t="shared" si="1"/>
        <v>0.11934455570774942</v>
      </c>
      <c r="G141" s="18">
        <f t="shared" si="1"/>
        <v>0.21543518027115474</v>
      </c>
      <c r="H141" s="18">
        <f t="shared" si="1"/>
        <v>0.31152580483456005</v>
      </c>
      <c r="I141" s="18">
        <f t="shared" si="1"/>
        <v>0.40761642939796539</v>
      </c>
      <c r="J141" s="18">
        <f t="shared" si="1"/>
        <v>0.50370705396137072</v>
      </c>
    </row>
    <row r="142" spans="2:10" x14ac:dyDescent="0.3">
      <c r="B142" s="24"/>
      <c r="C142" s="28" t="s">
        <v>76</v>
      </c>
      <c r="D142" s="17">
        <v>0.4868190927768693</v>
      </c>
      <c r="E142" s="18">
        <f t="shared" si="1"/>
        <v>4.7902998729243938E-2</v>
      </c>
      <c r="F142" s="18">
        <f t="shared" si="1"/>
        <v>0.12092586264577435</v>
      </c>
      <c r="G142" s="18">
        <f>$D142*G$114</f>
        <v>0.21828968120114819</v>
      </c>
      <c r="H142" s="18">
        <f t="shared" si="1"/>
        <v>0.31565349975652202</v>
      </c>
      <c r="I142" s="18">
        <f t="shared" si="1"/>
        <v>0.41301731831189592</v>
      </c>
      <c r="J142" s="18">
        <f t="shared" si="1"/>
        <v>0.51038113686726982</v>
      </c>
    </row>
    <row r="143" spans="2:10" x14ac:dyDescent="0.3">
      <c r="B143" s="23" t="s">
        <v>60</v>
      </c>
      <c r="C143" s="28" t="s">
        <v>74</v>
      </c>
      <c r="D143" s="17">
        <v>1</v>
      </c>
      <c r="E143" s="18">
        <f t="shared" si="1"/>
        <v>9.8400000000000001E-2</v>
      </c>
      <c r="F143" s="18">
        <f t="shared" si="1"/>
        <v>0.24840000000000001</v>
      </c>
      <c r="G143" s="18">
        <f t="shared" si="1"/>
        <v>0.44840000000000002</v>
      </c>
      <c r="H143" s="18">
        <f t="shared" si="1"/>
        <v>0.64839999999999998</v>
      </c>
      <c r="I143" s="18">
        <f t="shared" si="1"/>
        <v>0.84840000000000004</v>
      </c>
      <c r="J143" s="18">
        <f t="shared" si="1"/>
        <v>1.0484</v>
      </c>
    </row>
    <row r="144" spans="2:10" x14ac:dyDescent="0.3">
      <c r="B144" s="24"/>
      <c r="C144" s="28" t="s">
        <v>75</v>
      </c>
      <c r="D144" s="17">
        <v>1</v>
      </c>
      <c r="E144" s="18">
        <f t="shared" si="1"/>
        <v>9.8400000000000001E-2</v>
      </c>
      <c r="F144" s="18">
        <f t="shared" si="1"/>
        <v>0.24840000000000001</v>
      </c>
      <c r="G144" s="18">
        <f t="shared" si="1"/>
        <v>0.44840000000000002</v>
      </c>
      <c r="H144" s="18">
        <f t="shared" si="1"/>
        <v>0.64839999999999998</v>
      </c>
      <c r="I144" s="18">
        <f t="shared" si="1"/>
        <v>0.84840000000000004</v>
      </c>
      <c r="J144" s="18">
        <f t="shared" si="1"/>
        <v>1.0484</v>
      </c>
    </row>
    <row r="145" spans="2:10" x14ac:dyDescent="0.3">
      <c r="B145" s="25"/>
      <c r="C145" s="28" t="s">
        <v>76</v>
      </c>
      <c r="D145" s="17">
        <v>1</v>
      </c>
      <c r="E145" s="18">
        <f t="shared" si="1"/>
        <v>9.8400000000000001E-2</v>
      </c>
      <c r="F145" s="18">
        <f t="shared" si="1"/>
        <v>0.24840000000000001</v>
      </c>
      <c r="G145" s="18">
        <f t="shared" si="1"/>
        <v>0.44840000000000002</v>
      </c>
      <c r="H145" s="18">
        <f t="shared" si="1"/>
        <v>0.64839999999999998</v>
      </c>
      <c r="I145" s="18">
        <f t="shared" si="1"/>
        <v>0.84840000000000004</v>
      </c>
      <c r="J145" s="18">
        <f t="shared" si="1"/>
        <v>1.0484</v>
      </c>
    </row>
  </sheetData>
  <mergeCells count="16">
    <mergeCell ref="S7:AE7"/>
    <mergeCell ref="S8:AC8"/>
    <mergeCell ref="S9:T9"/>
    <mergeCell ref="R15:R18"/>
    <mergeCell ref="U9:Z9"/>
    <mergeCell ref="AA9:AC9"/>
    <mergeCell ref="U17:Z17"/>
    <mergeCell ref="AA17:AC17"/>
    <mergeCell ref="S15:AE15"/>
    <mergeCell ref="S16:AC16"/>
    <mergeCell ref="S17:T17"/>
    <mergeCell ref="E3:J3"/>
    <mergeCell ref="E40:J40"/>
    <mergeCell ref="E76:J76"/>
    <mergeCell ref="E113:J113"/>
    <mergeCell ref="R7:R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E8DD-9ACE-40FA-A2F7-9C0950FFD776}">
  <dimension ref="B2:AF274"/>
  <sheetViews>
    <sheetView topLeftCell="L1" workbookViewId="0">
      <selection activeCell="AF20" sqref="AF20"/>
    </sheetView>
  </sheetViews>
  <sheetFormatPr defaultRowHeight="14.4" x14ac:dyDescent="0.3"/>
  <cols>
    <col min="2" max="3" width="16" customWidth="1"/>
    <col min="4" max="4" width="16" style="30" customWidth="1"/>
    <col min="5" max="5" width="16" style="30" hidden="1" customWidth="1"/>
    <col min="6" max="11" width="14.44140625" style="30" customWidth="1"/>
    <col min="17" max="17" width="12.6640625" bestFit="1" customWidth="1"/>
    <col min="20" max="21" width="11.33203125" style="1" customWidth="1"/>
    <col min="22" max="22" width="10.5546875" style="1" customWidth="1"/>
    <col min="23" max="23" width="9.6640625" style="1" customWidth="1"/>
    <col min="24" max="30" width="8.88671875" style="1"/>
    <col min="31" max="31" width="10" style="1" customWidth="1"/>
    <col min="32" max="32" width="8.88671875" style="1"/>
  </cols>
  <sheetData>
    <row r="2" spans="2:32" hidden="1" x14ac:dyDescent="0.3">
      <c r="F2" s="62">
        <v>9.8400000000000001E-2</v>
      </c>
      <c r="G2" s="62">
        <v>0.24840000000000001</v>
      </c>
      <c r="H2" s="62">
        <v>0.44840000000000002</v>
      </c>
      <c r="I2" s="62">
        <v>0.64839999999999998</v>
      </c>
      <c r="J2" s="62">
        <v>0.84840000000000004</v>
      </c>
      <c r="K2" s="62">
        <v>1.0484</v>
      </c>
    </row>
    <row r="3" spans="2:32" x14ac:dyDescent="0.3">
      <c r="B3" s="113"/>
      <c r="C3" s="114"/>
      <c r="D3" s="114"/>
      <c r="E3" s="115"/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</row>
    <row r="4" spans="2:32" x14ac:dyDescent="0.3">
      <c r="B4" s="3" t="s">
        <v>1</v>
      </c>
      <c r="C4" s="3" t="s">
        <v>89</v>
      </c>
      <c r="D4" s="3" t="s">
        <v>73</v>
      </c>
      <c r="E4" s="3" t="s">
        <v>90</v>
      </c>
      <c r="F4" s="3" t="s">
        <v>91</v>
      </c>
      <c r="G4" s="3" t="s">
        <v>91</v>
      </c>
      <c r="H4" s="3" t="s">
        <v>91</v>
      </c>
      <c r="I4" s="3" t="s">
        <v>91</v>
      </c>
      <c r="J4" s="3" t="s">
        <v>91</v>
      </c>
      <c r="K4" s="3" t="s">
        <v>91</v>
      </c>
    </row>
    <row r="5" spans="2:32" x14ac:dyDescent="0.3">
      <c r="B5" s="33" t="s">
        <v>13</v>
      </c>
      <c r="C5" s="34" t="s">
        <v>92</v>
      </c>
      <c r="D5" s="39" t="s">
        <v>74</v>
      </c>
      <c r="E5" s="63">
        <v>1.4971169773554721E-3</v>
      </c>
      <c r="F5" s="61">
        <v>1.4731631057177846E-4</v>
      </c>
      <c r="G5" s="61">
        <v>3.7188385717509928E-4</v>
      </c>
      <c r="H5" s="61">
        <v>6.7130725264619368E-4</v>
      </c>
      <c r="I5" s="61">
        <v>9.7073064811728808E-4</v>
      </c>
      <c r="J5" s="61">
        <v>1.2701540435883826E-3</v>
      </c>
      <c r="K5" s="61">
        <v>1.5695774390594769E-3</v>
      </c>
    </row>
    <row r="6" spans="2:32" ht="28.8" x14ac:dyDescent="0.3">
      <c r="B6" s="35"/>
      <c r="C6" s="36"/>
      <c r="D6" s="39" t="s">
        <v>75</v>
      </c>
      <c r="E6" s="63">
        <v>4.2228718309290781E-5</v>
      </c>
      <c r="F6" s="61">
        <v>4.1553058816342128E-6</v>
      </c>
      <c r="G6" s="61">
        <v>1.0489613628027831E-5</v>
      </c>
      <c r="H6" s="61">
        <v>1.8935357289885988E-5</v>
      </c>
      <c r="I6" s="61">
        <v>2.7381100951744141E-5</v>
      </c>
      <c r="J6" s="61">
        <v>3.5826844613602303E-5</v>
      </c>
      <c r="K6" s="61">
        <v>4.4272588275460455E-5</v>
      </c>
      <c r="M6" s="5" t="s">
        <v>9</v>
      </c>
      <c r="N6" s="3" t="s">
        <v>10</v>
      </c>
      <c r="P6" s="3" t="s">
        <v>0</v>
      </c>
      <c r="Q6" s="3" t="s">
        <v>11</v>
      </c>
      <c r="S6" s="6" t="s">
        <v>12</v>
      </c>
      <c r="T6" s="7"/>
    </row>
    <row r="7" spans="2:32" x14ac:dyDescent="0.3">
      <c r="B7" s="35"/>
      <c r="C7" s="36"/>
      <c r="D7" s="39" t="s">
        <v>76</v>
      </c>
      <c r="E7" s="63">
        <v>1.4769601736060673E-3</v>
      </c>
      <c r="F7" s="61">
        <v>1.4533288108283703E-4</v>
      </c>
      <c r="G7" s="61">
        <v>3.6687690712374713E-4</v>
      </c>
      <c r="H7" s="61">
        <v>6.6226894184496057E-4</v>
      </c>
      <c r="I7" s="61">
        <v>9.57660976566174E-4</v>
      </c>
      <c r="J7" s="61">
        <v>1.2530530112873875E-3</v>
      </c>
      <c r="K7" s="61">
        <v>1.5484450460086009E-3</v>
      </c>
      <c r="M7" s="11" t="s">
        <v>14</v>
      </c>
      <c r="N7" s="12" t="s">
        <v>13</v>
      </c>
      <c r="P7" s="12" t="s">
        <v>15</v>
      </c>
      <c r="Q7" s="12" t="s">
        <v>16</v>
      </c>
      <c r="S7" s="109" t="s">
        <v>17</v>
      </c>
      <c r="T7" s="112" t="s">
        <v>18</v>
      </c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</row>
    <row r="8" spans="2:32" x14ac:dyDescent="0.3">
      <c r="B8" s="37" t="s">
        <v>19</v>
      </c>
      <c r="C8" s="38" t="s">
        <v>92</v>
      </c>
      <c r="D8" s="39" t="s">
        <v>74</v>
      </c>
      <c r="E8" s="40">
        <v>8.538844161615558E-3</v>
      </c>
      <c r="F8" s="61">
        <v>8.4022226550297091E-4</v>
      </c>
      <c r="G8" s="61">
        <v>2.1210488897453047E-3</v>
      </c>
      <c r="H8" s="61">
        <v>3.8288177220684163E-3</v>
      </c>
      <c r="I8" s="61">
        <v>5.5365865543915279E-3</v>
      </c>
      <c r="J8" s="61">
        <v>7.2443553867146395E-3</v>
      </c>
      <c r="K8" s="61">
        <v>8.9521242190377503E-3</v>
      </c>
      <c r="M8" s="11" t="s">
        <v>20</v>
      </c>
      <c r="N8" s="12" t="s">
        <v>13</v>
      </c>
      <c r="P8" s="12" t="s">
        <v>21</v>
      </c>
      <c r="Q8" s="12" t="s">
        <v>22</v>
      </c>
      <c r="S8" s="110"/>
      <c r="T8" s="113" t="s">
        <v>23</v>
      </c>
      <c r="U8" s="114"/>
      <c r="V8" s="114"/>
      <c r="W8" s="114"/>
      <c r="X8" s="114"/>
      <c r="Y8" s="114"/>
      <c r="Z8" s="114"/>
      <c r="AA8" s="114"/>
      <c r="AB8" s="114"/>
      <c r="AC8" s="114"/>
      <c r="AD8" s="115"/>
      <c r="AE8" s="14"/>
      <c r="AF8" s="13"/>
    </row>
    <row r="9" spans="2:32" x14ac:dyDescent="0.3">
      <c r="B9" s="35"/>
      <c r="C9" s="35"/>
      <c r="D9" s="64" t="s">
        <v>75</v>
      </c>
      <c r="E9" s="40">
        <v>6.31515598337474E-4</v>
      </c>
      <c r="F9" s="61">
        <v>6.2141134876407447E-5</v>
      </c>
      <c r="G9" s="61">
        <v>1.5686847462702855E-4</v>
      </c>
      <c r="H9" s="61">
        <v>2.8317159429452335E-4</v>
      </c>
      <c r="I9" s="61">
        <v>4.0947471396201814E-4</v>
      </c>
      <c r="J9" s="61">
        <v>5.3577783362951294E-4</v>
      </c>
      <c r="K9" s="61">
        <v>6.6208095329700774E-4</v>
      </c>
      <c r="M9" s="11" t="s">
        <v>25</v>
      </c>
      <c r="N9" s="12" t="s">
        <v>13</v>
      </c>
      <c r="P9" s="12" t="s">
        <v>26</v>
      </c>
      <c r="Q9" s="12" t="s">
        <v>27</v>
      </c>
      <c r="S9" s="110"/>
      <c r="T9" s="113" t="s">
        <v>10</v>
      </c>
      <c r="U9" s="115"/>
      <c r="V9" s="114" t="s">
        <v>28</v>
      </c>
      <c r="W9" s="114"/>
      <c r="X9" s="114"/>
      <c r="Y9" s="114"/>
      <c r="Z9" s="114"/>
      <c r="AA9" s="115"/>
      <c r="AB9" s="113" t="s">
        <v>29</v>
      </c>
      <c r="AC9" s="114"/>
      <c r="AD9" s="115"/>
      <c r="AE9" s="13"/>
      <c r="AF9" s="13"/>
    </row>
    <row r="10" spans="2:32" ht="28.8" x14ac:dyDescent="0.3">
      <c r="B10" s="35"/>
      <c r="C10" s="36"/>
      <c r="D10" s="39" t="s">
        <v>76</v>
      </c>
      <c r="E10" s="40">
        <v>8.4551790999036931E-3</v>
      </c>
      <c r="F10" s="61">
        <v>8.3198962343052345E-4</v>
      </c>
      <c r="G10" s="61">
        <v>2.1002664884160775E-3</v>
      </c>
      <c r="H10" s="61">
        <v>3.7913023083968162E-3</v>
      </c>
      <c r="I10" s="61">
        <v>5.482338128377554E-3</v>
      </c>
      <c r="J10" s="61">
        <v>7.1733739483582932E-3</v>
      </c>
      <c r="K10" s="61">
        <v>8.8644097683390315E-3</v>
      </c>
      <c r="M10" s="11" t="s">
        <v>31</v>
      </c>
      <c r="N10" s="12" t="s">
        <v>13</v>
      </c>
      <c r="O10" s="30"/>
      <c r="P10" s="12" t="s">
        <v>32</v>
      </c>
      <c r="Q10" s="12" t="s">
        <v>33</v>
      </c>
      <c r="R10" s="30"/>
      <c r="S10" s="111"/>
      <c r="T10" s="19" t="s">
        <v>34</v>
      </c>
      <c r="U10" s="19" t="s">
        <v>0</v>
      </c>
      <c r="V10" s="19" t="s">
        <v>35</v>
      </c>
      <c r="W10" s="19" t="s">
        <v>36</v>
      </c>
      <c r="X10" s="19" t="s">
        <v>37</v>
      </c>
      <c r="Y10" s="19" t="s">
        <v>38</v>
      </c>
      <c r="Z10" s="19" t="s">
        <v>39</v>
      </c>
      <c r="AA10" s="19" t="s">
        <v>40</v>
      </c>
      <c r="AB10" s="19" t="s">
        <v>41</v>
      </c>
      <c r="AC10" s="19" t="s">
        <v>42</v>
      </c>
      <c r="AD10" s="19" t="s">
        <v>43</v>
      </c>
      <c r="AE10" s="19" t="s">
        <v>44</v>
      </c>
      <c r="AF10" s="19" t="s">
        <v>45</v>
      </c>
    </row>
    <row r="11" spans="2:32" x14ac:dyDescent="0.3">
      <c r="B11" s="33" t="s">
        <v>24</v>
      </c>
      <c r="C11" s="34" t="s">
        <v>92</v>
      </c>
      <c r="D11" s="39" t="s">
        <v>74</v>
      </c>
      <c r="E11" s="40">
        <v>8.645297610404952E-3</v>
      </c>
      <c r="F11" s="61">
        <v>8.5069728486384733E-4</v>
      </c>
      <c r="G11" s="61">
        <v>2.1474919264245903E-3</v>
      </c>
      <c r="H11" s="61">
        <v>3.8765514485055805E-3</v>
      </c>
      <c r="I11" s="61">
        <v>5.6056109705865708E-3</v>
      </c>
      <c r="J11" s="61">
        <v>7.3346704926675619E-3</v>
      </c>
      <c r="K11" s="61">
        <v>9.0637300147485521E-3</v>
      </c>
      <c r="M11" s="11" t="s">
        <v>47</v>
      </c>
      <c r="N11" s="12" t="s">
        <v>13</v>
      </c>
      <c r="P11" s="12" t="s">
        <v>48</v>
      </c>
      <c r="Q11" s="12" t="s">
        <v>49</v>
      </c>
      <c r="S11" s="15"/>
      <c r="T11" s="13"/>
      <c r="U11" s="13"/>
      <c r="V11" s="13"/>
      <c r="W11" s="13"/>
      <c r="X11" s="13"/>
      <c r="Y11" s="13"/>
      <c r="Z11" s="13"/>
      <c r="AA11" s="13">
        <f>SUM(W11:Z11)</f>
        <v>0</v>
      </c>
      <c r="AB11" s="13"/>
      <c r="AC11" s="13"/>
      <c r="AD11" s="13">
        <f>SUM(AB11:AC11)</f>
        <v>0</v>
      </c>
      <c r="AE11" s="13">
        <f>SUM(AA11,AD11)</f>
        <v>0</v>
      </c>
      <c r="AF11" s="13">
        <f>AE11-SUM(W11:X11)</f>
        <v>0</v>
      </c>
    </row>
    <row r="12" spans="2:32" x14ac:dyDescent="0.3">
      <c r="B12" s="35"/>
      <c r="C12" s="36"/>
      <c r="D12" s="39" t="s">
        <v>75</v>
      </c>
      <c r="E12" s="40">
        <v>6.4384548914052668E-4</v>
      </c>
      <c r="F12" s="61">
        <v>6.3354396131427821E-5</v>
      </c>
      <c r="G12" s="61">
        <v>1.5993121950250684E-4</v>
      </c>
      <c r="H12" s="61">
        <v>2.8870031733061217E-4</v>
      </c>
      <c r="I12" s="61">
        <v>4.1746941515871747E-4</v>
      </c>
      <c r="J12" s="61">
        <v>5.4623851298682283E-4</v>
      </c>
      <c r="K12" s="61">
        <v>6.7500761081492819E-4</v>
      </c>
      <c r="M12" s="11" t="s">
        <v>51</v>
      </c>
      <c r="N12" s="12" t="s">
        <v>13</v>
      </c>
      <c r="P12" s="12" t="s">
        <v>52</v>
      </c>
      <c r="Q12" s="20">
        <v>1</v>
      </c>
    </row>
    <row r="13" spans="2:32" x14ac:dyDescent="0.3">
      <c r="B13" s="35"/>
      <c r="C13" s="36"/>
      <c r="D13" s="39" t="s">
        <v>76</v>
      </c>
      <c r="E13" s="40">
        <v>8.5608197651493578E-3</v>
      </c>
      <c r="F13" s="61">
        <v>8.4238466489069681E-4</v>
      </c>
      <c r="G13" s="61">
        <v>2.1265076296631004E-3</v>
      </c>
      <c r="H13" s="61">
        <v>3.8386715826929721E-3</v>
      </c>
      <c r="I13" s="61">
        <v>5.5508355357228433E-3</v>
      </c>
      <c r="J13" s="61">
        <v>7.2629994887527154E-3</v>
      </c>
      <c r="K13" s="61">
        <v>8.9751634417825875E-3</v>
      </c>
      <c r="M13" s="11" t="s">
        <v>54</v>
      </c>
      <c r="N13" s="12" t="s">
        <v>13</v>
      </c>
    </row>
    <row r="14" spans="2:32" x14ac:dyDescent="0.3">
      <c r="B14" s="33" t="s">
        <v>30</v>
      </c>
      <c r="C14" s="34" t="s">
        <v>92</v>
      </c>
      <c r="D14" s="39" t="s">
        <v>74</v>
      </c>
      <c r="E14" s="40">
        <v>1.5808181205307123E-2</v>
      </c>
      <c r="F14" s="61">
        <v>1.5555250306022209E-3</v>
      </c>
      <c r="G14" s="61">
        <v>3.9267522113982899E-3</v>
      </c>
      <c r="H14" s="61">
        <v>7.0883884524597139E-3</v>
      </c>
      <c r="I14" s="61">
        <v>1.0250024693521138E-2</v>
      </c>
      <c r="J14" s="61">
        <v>1.3411660934582563E-2</v>
      </c>
      <c r="K14" s="61">
        <v>1.6573297175643986E-2</v>
      </c>
      <c r="M14" s="11" t="s">
        <v>56</v>
      </c>
      <c r="N14" s="12" t="s">
        <v>19</v>
      </c>
      <c r="S14" s="6" t="s">
        <v>57</v>
      </c>
      <c r="T14" s="7"/>
    </row>
    <row r="15" spans="2:32" x14ac:dyDescent="0.3">
      <c r="B15" s="35"/>
      <c r="C15" s="36"/>
      <c r="D15" s="39" t="s">
        <v>75</v>
      </c>
      <c r="E15" s="40">
        <v>1.6559811430522913E-3</v>
      </c>
      <c r="F15" s="61">
        <v>1.6294854447634547E-4</v>
      </c>
      <c r="G15" s="61">
        <v>4.1134571593418918E-4</v>
      </c>
      <c r="H15" s="61">
        <v>7.4254194454464746E-4</v>
      </c>
      <c r="I15" s="61">
        <v>1.0737381731551056E-3</v>
      </c>
      <c r="J15" s="61">
        <v>1.404934401765564E-3</v>
      </c>
      <c r="K15" s="61">
        <v>1.7361306303760222E-3</v>
      </c>
      <c r="M15" s="11" t="s">
        <v>59</v>
      </c>
      <c r="N15" s="12" t="s">
        <v>19</v>
      </c>
      <c r="S15" s="109" t="s">
        <v>17</v>
      </c>
      <c r="T15" s="112" t="s">
        <v>18</v>
      </c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</row>
    <row r="16" spans="2:32" x14ac:dyDescent="0.3">
      <c r="B16" s="41"/>
      <c r="C16" s="42"/>
      <c r="D16" s="39" t="s">
        <v>76</v>
      </c>
      <c r="E16" s="40">
        <v>1.5674464658542199E-2</v>
      </c>
      <c r="F16" s="61">
        <v>1.5423673224005524E-3</v>
      </c>
      <c r="G16" s="61">
        <v>3.8935370211818825E-3</v>
      </c>
      <c r="H16" s="61">
        <v>7.0284299528903223E-3</v>
      </c>
      <c r="I16" s="61">
        <v>1.0163322884598761E-2</v>
      </c>
      <c r="J16" s="61">
        <v>1.3298215816307203E-2</v>
      </c>
      <c r="K16" s="61">
        <v>1.6433108748015641E-2</v>
      </c>
      <c r="M16" s="11" t="s">
        <v>61</v>
      </c>
      <c r="N16" s="12" t="s">
        <v>24</v>
      </c>
      <c r="S16" s="110"/>
      <c r="T16" s="113" t="s">
        <v>23</v>
      </c>
      <c r="U16" s="114"/>
      <c r="V16" s="114"/>
      <c r="W16" s="114"/>
      <c r="X16" s="114"/>
      <c r="Y16" s="114"/>
      <c r="Z16" s="114"/>
      <c r="AA16" s="114"/>
      <c r="AB16" s="114"/>
      <c r="AC16" s="114"/>
      <c r="AD16" s="115"/>
      <c r="AE16" s="14"/>
      <c r="AF16" s="13"/>
    </row>
    <row r="17" spans="2:32" x14ac:dyDescent="0.3">
      <c r="B17" s="33" t="s">
        <v>46</v>
      </c>
      <c r="C17" s="34" t="s">
        <v>92</v>
      </c>
      <c r="D17" s="39" t="s">
        <v>74</v>
      </c>
      <c r="E17" s="40">
        <v>2.964663441279201E-2</v>
      </c>
      <c r="F17" s="61">
        <v>2.9172288262187341E-3</v>
      </c>
      <c r="G17" s="61">
        <v>7.3642239881375358E-3</v>
      </c>
      <c r="H17" s="61">
        <v>1.3293550870695938E-2</v>
      </c>
      <c r="I17" s="61">
        <v>1.922287775325434E-2</v>
      </c>
      <c r="J17" s="61">
        <v>2.5152204635812744E-2</v>
      </c>
      <c r="K17" s="61">
        <v>3.1081531518371144E-2</v>
      </c>
      <c r="M17" s="11" t="s">
        <v>62</v>
      </c>
      <c r="N17" s="12" t="s">
        <v>24</v>
      </c>
      <c r="S17" s="110"/>
      <c r="T17" s="113" t="s">
        <v>10</v>
      </c>
      <c r="U17" s="115"/>
      <c r="V17" s="114" t="s">
        <v>28</v>
      </c>
      <c r="W17" s="114"/>
      <c r="X17" s="114"/>
      <c r="Y17" s="114"/>
      <c r="Z17" s="114"/>
      <c r="AA17" s="115"/>
      <c r="AB17" s="113" t="s">
        <v>29</v>
      </c>
      <c r="AC17" s="114"/>
      <c r="AD17" s="115"/>
      <c r="AE17" s="13"/>
      <c r="AF17" s="13"/>
    </row>
    <row r="18" spans="2:32" ht="28.8" x14ac:dyDescent="0.3">
      <c r="B18" s="35"/>
      <c r="C18" s="36"/>
      <c r="D18" s="39" t="s">
        <v>75</v>
      </c>
      <c r="E18" s="40">
        <v>4.4699627486178449E-3</v>
      </c>
      <c r="F18" s="61">
        <v>4.3984433446399594E-4</v>
      </c>
      <c r="G18" s="61">
        <v>1.1103387467566728E-3</v>
      </c>
      <c r="H18" s="61">
        <v>2.0043312964802417E-3</v>
      </c>
      <c r="I18" s="61">
        <v>2.8983238462038105E-3</v>
      </c>
      <c r="J18" s="61">
        <v>3.7923163959273799E-3</v>
      </c>
      <c r="K18" s="61">
        <v>4.6863089456509483E-3</v>
      </c>
      <c r="M18" s="11" t="s">
        <v>63</v>
      </c>
      <c r="N18" s="12" t="s">
        <v>30</v>
      </c>
      <c r="O18" s="30"/>
      <c r="P18" s="30"/>
      <c r="Q18" s="30"/>
      <c r="R18" s="30"/>
      <c r="S18" s="111"/>
      <c r="T18" s="19" t="s">
        <v>34</v>
      </c>
      <c r="U18" s="19" t="s">
        <v>0</v>
      </c>
      <c r="V18" s="19" t="s">
        <v>35</v>
      </c>
      <c r="W18" s="19" t="s">
        <v>36</v>
      </c>
      <c r="X18" s="19" t="s">
        <v>37</v>
      </c>
      <c r="Y18" s="19" t="s">
        <v>38</v>
      </c>
      <c r="Z18" s="19" t="s">
        <v>39</v>
      </c>
      <c r="AA18" s="19" t="s">
        <v>40</v>
      </c>
      <c r="AB18" s="19" t="s">
        <v>41</v>
      </c>
      <c r="AC18" s="19" t="s">
        <v>42</v>
      </c>
      <c r="AD18" s="19" t="s">
        <v>43</v>
      </c>
      <c r="AE18" s="19" t="s">
        <v>44</v>
      </c>
      <c r="AF18" s="19" t="s">
        <v>45</v>
      </c>
    </row>
    <row r="19" spans="2:32" x14ac:dyDescent="0.3">
      <c r="B19" s="35"/>
      <c r="C19" s="36"/>
      <c r="D19" s="39" t="s">
        <v>76</v>
      </c>
      <c r="E19" s="40">
        <v>2.9437675705884556E-2</v>
      </c>
      <c r="F19" s="61">
        <v>2.8966672894590404E-3</v>
      </c>
      <c r="G19" s="61">
        <v>7.3123186453417236E-3</v>
      </c>
      <c r="H19" s="61">
        <v>1.3199853786518636E-2</v>
      </c>
      <c r="I19" s="61">
        <v>1.9087388927695546E-2</v>
      </c>
      <c r="J19" s="61">
        <v>2.4974924068872459E-2</v>
      </c>
      <c r="K19" s="61">
        <v>3.0862459210049369E-2</v>
      </c>
      <c r="M19" s="11" t="s">
        <v>64</v>
      </c>
      <c r="N19" s="12" t="s">
        <v>46</v>
      </c>
      <c r="S19" s="15"/>
      <c r="T19" s="13"/>
      <c r="U19" s="13"/>
      <c r="V19" s="13"/>
      <c r="W19" s="13"/>
      <c r="X19" s="13"/>
      <c r="Y19" s="13"/>
      <c r="Z19" s="13"/>
      <c r="AA19" s="13">
        <f>SUM(W19:Z19)</f>
        <v>0</v>
      </c>
      <c r="AB19" s="13"/>
      <c r="AC19" s="13"/>
      <c r="AD19" s="13">
        <f ca="1">SUM(AB19:AD19)</f>
        <v>0</v>
      </c>
      <c r="AE19" s="13">
        <f ca="1">SUM(AA19,AD19)</f>
        <v>0</v>
      </c>
      <c r="AF19" s="13">
        <f ca="1">AE19-SUM(W19:X19)</f>
        <v>0</v>
      </c>
    </row>
    <row r="20" spans="2:32" x14ac:dyDescent="0.3">
      <c r="B20" s="33" t="s">
        <v>50</v>
      </c>
      <c r="C20" s="34" t="s">
        <v>92</v>
      </c>
      <c r="D20" s="39" t="s">
        <v>74</v>
      </c>
      <c r="E20" s="40">
        <v>5.6165705114072699E-2</v>
      </c>
      <c r="F20" s="61">
        <v>5.5267053832247538E-3</v>
      </c>
      <c r="G20" s="61">
        <v>1.3951561150335658E-2</v>
      </c>
      <c r="H20" s="61">
        <v>2.5184702173150199E-2</v>
      </c>
      <c r="I20" s="61">
        <v>3.6417843195964736E-2</v>
      </c>
      <c r="J20" s="61">
        <v>4.765098421877928E-2</v>
      </c>
      <c r="K20" s="61">
        <v>5.8884125241593817E-2</v>
      </c>
      <c r="M20" s="11" t="s">
        <v>65</v>
      </c>
      <c r="N20" s="12" t="s">
        <v>50</v>
      </c>
    </row>
    <row r="21" spans="2:32" x14ac:dyDescent="0.3">
      <c r="B21" s="35"/>
      <c r="C21" s="36"/>
      <c r="D21" s="39" t="s">
        <v>75</v>
      </c>
      <c r="E21" s="40">
        <v>1.2453828516969495E-2</v>
      </c>
      <c r="F21" s="61">
        <v>1.2254567260697982E-3</v>
      </c>
      <c r="G21" s="61">
        <v>3.0935310036152228E-3</v>
      </c>
      <c r="H21" s="61">
        <v>5.5842967070091221E-3</v>
      </c>
      <c r="I21" s="61">
        <v>8.0750624104030198E-3</v>
      </c>
      <c r="J21" s="61">
        <v>1.0565828113796921E-2</v>
      </c>
      <c r="K21" s="61">
        <v>1.3056593817190819E-2</v>
      </c>
      <c r="M21" s="11" t="s">
        <v>66</v>
      </c>
      <c r="N21" s="12" t="s">
        <v>53</v>
      </c>
    </row>
    <row r="22" spans="2:32" x14ac:dyDescent="0.3">
      <c r="B22" s="35"/>
      <c r="C22" s="36"/>
      <c r="D22" s="39" t="s">
        <v>76</v>
      </c>
      <c r="E22" s="40">
        <v>5.5853924799459664E-2</v>
      </c>
      <c r="F22" s="61">
        <v>5.4960262002668311E-3</v>
      </c>
      <c r="G22" s="61">
        <v>1.3874114920185782E-2</v>
      </c>
      <c r="H22" s="61">
        <v>2.5044899880077715E-2</v>
      </c>
      <c r="I22" s="61">
        <v>3.6215684839969647E-2</v>
      </c>
      <c r="J22" s="61">
        <v>4.738646979986158E-2</v>
      </c>
      <c r="K22" s="61">
        <v>5.8557254759753513E-2</v>
      </c>
      <c r="M22" s="11" t="s">
        <v>67</v>
      </c>
      <c r="N22" s="12" t="s">
        <v>55</v>
      </c>
    </row>
    <row r="23" spans="2:32" x14ac:dyDescent="0.3">
      <c r="B23" s="33" t="s">
        <v>53</v>
      </c>
      <c r="C23" s="34" t="s">
        <v>92</v>
      </c>
      <c r="D23" s="39" t="s">
        <v>74</v>
      </c>
      <c r="E23" s="40">
        <v>8.9689258405216826E-2</v>
      </c>
      <c r="F23" s="61">
        <v>8.8254230270733355E-3</v>
      </c>
      <c r="G23" s="61">
        <v>2.2278811787855859E-2</v>
      </c>
      <c r="H23" s="61">
        <v>4.0216663468899225E-2</v>
      </c>
      <c r="I23" s="61">
        <v>5.815451514994259E-2</v>
      </c>
      <c r="J23" s="61">
        <v>7.6092366830985955E-2</v>
      </c>
      <c r="K23" s="61">
        <v>9.403021851202932E-2</v>
      </c>
      <c r="M23" s="11" t="s">
        <v>68</v>
      </c>
      <c r="N23" s="12" t="s">
        <v>58</v>
      </c>
    </row>
    <row r="24" spans="2:32" x14ac:dyDescent="0.3">
      <c r="B24" s="35"/>
      <c r="C24" s="36"/>
      <c r="D24" s="39" t="s">
        <v>75</v>
      </c>
      <c r="E24" s="40">
        <v>2.6803996580142223E-2</v>
      </c>
      <c r="F24" s="61">
        <v>2.6375132634859949E-3</v>
      </c>
      <c r="G24" s="61">
        <v>6.658112750507328E-3</v>
      </c>
      <c r="H24" s="61">
        <v>1.2018912066535773E-2</v>
      </c>
      <c r="I24" s="61">
        <v>1.7379711382564215E-2</v>
      </c>
      <c r="J24" s="61">
        <v>2.2740510698592661E-2</v>
      </c>
      <c r="K24" s="61">
        <v>2.8101310014621107E-2</v>
      </c>
      <c r="M24" s="11" t="s">
        <v>69</v>
      </c>
      <c r="N24" s="12" t="s">
        <v>58</v>
      </c>
    </row>
    <row r="25" spans="2:32" x14ac:dyDescent="0.3">
      <c r="B25" s="35"/>
      <c r="C25" s="36"/>
      <c r="D25" s="39" t="s">
        <v>76</v>
      </c>
      <c r="E25" s="40">
        <v>8.9294556859399285E-2</v>
      </c>
      <c r="F25" s="61">
        <v>8.786584394964889E-3</v>
      </c>
      <c r="G25" s="61">
        <v>2.2180767923874783E-2</v>
      </c>
      <c r="H25" s="61">
        <v>4.0039679295754645E-2</v>
      </c>
      <c r="I25" s="61">
        <v>5.7898590667634496E-2</v>
      </c>
      <c r="J25" s="61">
        <v>7.5757502039514354E-2</v>
      </c>
      <c r="K25" s="61">
        <v>9.3616413411394206E-2</v>
      </c>
      <c r="M25" s="11" t="s">
        <v>70</v>
      </c>
      <c r="N25" s="12" t="s">
        <v>58</v>
      </c>
    </row>
    <row r="26" spans="2:32" x14ac:dyDescent="0.3">
      <c r="B26" s="33" t="s">
        <v>55</v>
      </c>
      <c r="C26" s="34" t="s">
        <v>92</v>
      </c>
      <c r="D26" s="39" t="s">
        <v>74</v>
      </c>
      <c r="E26" s="40">
        <v>0.17953690920293103</v>
      </c>
      <c r="F26" s="61">
        <v>1.7666431865568412E-2</v>
      </c>
      <c r="G26" s="61">
        <v>4.4596968246008069E-2</v>
      </c>
      <c r="H26" s="61">
        <v>8.0504350086594276E-2</v>
      </c>
      <c r="I26" s="61">
        <v>0.11641173192718048</v>
      </c>
      <c r="J26" s="61">
        <v>0.15231911376776669</v>
      </c>
      <c r="K26" s="61">
        <v>0.18822649560835289</v>
      </c>
      <c r="M26" s="11" t="s">
        <v>71</v>
      </c>
      <c r="N26" s="12" t="s">
        <v>60</v>
      </c>
    </row>
    <row r="27" spans="2:32" x14ac:dyDescent="0.3">
      <c r="B27" s="35"/>
      <c r="C27" s="36"/>
      <c r="D27" s="39" t="s">
        <v>75</v>
      </c>
      <c r="E27" s="40">
        <v>8.6621408515701728E-2</v>
      </c>
      <c r="F27" s="61">
        <v>8.523546597945051E-3</v>
      </c>
      <c r="G27" s="61">
        <v>2.1516757875300309E-2</v>
      </c>
      <c r="H27" s="61">
        <v>3.8841039578440657E-2</v>
      </c>
      <c r="I27" s="61">
        <v>5.6165321281580999E-2</v>
      </c>
      <c r="J27" s="61">
        <v>7.3489602984721347E-2</v>
      </c>
      <c r="K27" s="61">
        <v>9.0813884687861696E-2</v>
      </c>
    </row>
    <row r="28" spans="2:32" x14ac:dyDescent="0.3">
      <c r="B28" s="35"/>
      <c r="C28" s="36"/>
      <c r="D28" s="39" t="s">
        <v>76</v>
      </c>
      <c r="E28" s="40">
        <v>0.17906937261382469</v>
      </c>
      <c r="F28" s="61">
        <v>1.7620426265200349E-2</v>
      </c>
      <c r="G28" s="61">
        <v>4.4480832157274053E-2</v>
      </c>
      <c r="H28" s="61">
        <v>8.0294706680038991E-2</v>
      </c>
      <c r="I28" s="61">
        <v>0.11610858120280393</v>
      </c>
      <c r="J28" s="61">
        <v>0.15192245572556887</v>
      </c>
      <c r="K28" s="61">
        <v>0.1877363302483338</v>
      </c>
    </row>
    <row r="29" spans="2:32" x14ac:dyDescent="0.3">
      <c r="B29" s="33" t="s">
        <v>58</v>
      </c>
      <c r="C29" s="34" t="s">
        <v>92</v>
      </c>
      <c r="D29" s="39" t="s">
        <v>74</v>
      </c>
      <c r="E29" s="40">
        <v>0.48768199619878627</v>
      </c>
      <c r="F29" s="61">
        <v>4.7987908425960568E-2</v>
      </c>
      <c r="G29" s="61">
        <v>0.12114020785577852</v>
      </c>
      <c r="H29" s="61">
        <v>0.21867660709553577</v>
      </c>
      <c r="I29" s="61">
        <v>0.31621300633529303</v>
      </c>
      <c r="J29" s="61">
        <v>0.4137494055750503</v>
      </c>
      <c r="K29" s="61">
        <v>0.51128580481480757</v>
      </c>
    </row>
    <row r="30" spans="2:32" x14ac:dyDescent="0.3">
      <c r="B30" s="35"/>
      <c r="C30" s="36"/>
      <c r="D30" s="39" t="s">
        <v>75</v>
      </c>
      <c r="E30" s="40">
        <v>0.48090351233628231</v>
      </c>
      <c r="F30" s="61">
        <v>4.7320905613890178E-2</v>
      </c>
      <c r="G30" s="61">
        <v>0.11945643246433253</v>
      </c>
      <c r="H30" s="61">
        <v>0.21563713493158901</v>
      </c>
      <c r="I30" s="61">
        <v>0.31181783739884544</v>
      </c>
      <c r="J30" s="61">
        <v>0.40799853986610196</v>
      </c>
      <c r="K30" s="61">
        <v>0.50417924233335842</v>
      </c>
    </row>
    <row r="31" spans="2:32" x14ac:dyDescent="0.3">
      <c r="B31" s="35"/>
      <c r="C31" s="36"/>
      <c r="D31" s="39" t="s">
        <v>76</v>
      </c>
      <c r="E31" s="40">
        <v>0.48765623679690789</v>
      </c>
      <c r="F31" s="61">
        <v>4.7985373700815737E-2</v>
      </c>
      <c r="G31" s="61">
        <v>0.12113380922035193</v>
      </c>
      <c r="H31" s="61">
        <v>0.21866505657973351</v>
      </c>
      <c r="I31" s="61">
        <v>0.31619630393911508</v>
      </c>
      <c r="J31" s="61">
        <v>0.4137275512984967</v>
      </c>
      <c r="K31" s="61">
        <v>0.51125879865787827</v>
      </c>
    </row>
    <row r="32" spans="2:32" x14ac:dyDescent="0.3">
      <c r="B32" s="33" t="s">
        <v>60</v>
      </c>
      <c r="C32" s="34" t="s">
        <v>92</v>
      </c>
      <c r="D32" s="39" t="s">
        <v>74</v>
      </c>
      <c r="E32" s="65">
        <v>1</v>
      </c>
      <c r="F32" s="61">
        <v>9.8400000000000001E-2</v>
      </c>
      <c r="G32" s="61">
        <v>0.24840000000000001</v>
      </c>
      <c r="H32" s="61">
        <v>0.44840000000000002</v>
      </c>
      <c r="I32" s="61">
        <v>0.64839999999999998</v>
      </c>
      <c r="J32" s="61">
        <v>0.84840000000000004</v>
      </c>
      <c r="K32" s="61">
        <v>1.0484</v>
      </c>
    </row>
    <row r="33" spans="2:11" x14ac:dyDescent="0.3">
      <c r="B33" s="35"/>
      <c r="C33" s="36"/>
      <c r="D33" s="39" t="s">
        <v>75</v>
      </c>
      <c r="E33" s="65">
        <v>1</v>
      </c>
      <c r="F33" s="61">
        <v>9.8400000000000001E-2</v>
      </c>
      <c r="G33" s="61">
        <v>0.24840000000000001</v>
      </c>
      <c r="H33" s="61">
        <v>0.44840000000000002</v>
      </c>
      <c r="I33" s="61">
        <v>0.64839999999999998</v>
      </c>
      <c r="J33" s="61">
        <v>0.84840000000000004</v>
      </c>
      <c r="K33" s="61">
        <v>1.0484</v>
      </c>
    </row>
    <row r="34" spans="2:11" ht="15" thickBot="1" x14ac:dyDescent="0.35">
      <c r="B34" s="43"/>
      <c r="C34" s="44"/>
      <c r="D34" s="66" t="s">
        <v>76</v>
      </c>
      <c r="E34" s="67">
        <v>1</v>
      </c>
      <c r="F34" s="68">
        <v>9.8400000000000001E-2</v>
      </c>
      <c r="G34" s="68">
        <v>0.24840000000000001</v>
      </c>
      <c r="H34" s="68">
        <v>0.44840000000000002</v>
      </c>
      <c r="I34" s="68">
        <v>0.64839999999999998</v>
      </c>
      <c r="J34" s="68">
        <v>0.84840000000000004</v>
      </c>
      <c r="K34" s="68">
        <v>1.0484</v>
      </c>
    </row>
    <row r="35" spans="2:11" x14ac:dyDescent="0.3">
      <c r="B35" s="45" t="s">
        <v>13</v>
      </c>
      <c r="C35" s="46" t="s">
        <v>93</v>
      </c>
      <c r="D35" s="69" t="s">
        <v>74</v>
      </c>
      <c r="E35" s="70">
        <v>6.4731554733996207E-4</v>
      </c>
      <c r="F35" s="71">
        <v>6.3695849858252273E-5</v>
      </c>
      <c r="G35" s="71">
        <v>1.6079318195924658E-4</v>
      </c>
      <c r="H35" s="71">
        <v>2.9025629142723902E-4</v>
      </c>
      <c r="I35" s="71">
        <v>4.1971940089523138E-4</v>
      </c>
      <c r="J35" s="71">
        <v>5.4918251036322385E-4</v>
      </c>
      <c r="K35" s="71">
        <v>6.7864561983121627E-4</v>
      </c>
    </row>
    <row r="36" spans="2:11" x14ac:dyDescent="0.3">
      <c r="B36" s="47"/>
      <c r="C36" s="48"/>
      <c r="D36" s="51" t="s">
        <v>75</v>
      </c>
      <c r="E36" s="52">
        <v>2.0165048626983687E-5</v>
      </c>
      <c r="F36" s="72">
        <v>1.9842407848951949E-6</v>
      </c>
      <c r="G36" s="72">
        <v>5.0089980789427483E-6</v>
      </c>
      <c r="H36" s="72">
        <v>9.0420078043394848E-6</v>
      </c>
      <c r="I36" s="72">
        <v>1.3075017529736222E-5</v>
      </c>
      <c r="J36" s="72">
        <v>1.7108027255132961E-5</v>
      </c>
      <c r="K36" s="72">
        <v>2.1141036980529698E-5</v>
      </c>
    </row>
    <row r="37" spans="2:11" x14ac:dyDescent="0.3">
      <c r="B37" s="47"/>
      <c r="C37" s="48"/>
      <c r="D37" s="51" t="s">
        <v>76</v>
      </c>
      <c r="E37" s="52">
        <v>6.3643647973911019E-4</v>
      </c>
      <c r="F37" s="72">
        <v>6.2625349606328443E-5</v>
      </c>
      <c r="G37" s="72">
        <v>1.5809082156719497E-4</v>
      </c>
      <c r="H37" s="72">
        <v>2.8537811751501701E-4</v>
      </c>
      <c r="I37" s="72">
        <v>4.1266541346283905E-4</v>
      </c>
      <c r="J37" s="72">
        <v>5.3995270941066108E-4</v>
      </c>
      <c r="K37" s="72">
        <v>6.6724000535848312E-4</v>
      </c>
    </row>
    <row r="38" spans="2:11" x14ac:dyDescent="0.3">
      <c r="B38" s="49" t="s">
        <v>19</v>
      </c>
      <c r="C38" s="50" t="str">
        <f>C35</f>
        <v>China</v>
      </c>
      <c r="D38" s="51" t="s">
        <v>74</v>
      </c>
      <c r="E38" s="52">
        <v>4.6340897813275019E-3</v>
      </c>
      <c r="F38" s="72">
        <v>4.5599443448262619E-4</v>
      </c>
      <c r="G38" s="72">
        <v>1.1511079016817516E-3</v>
      </c>
      <c r="H38" s="72">
        <v>2.0779258579472519E-3</v>
      </c>
      <c r="I38" s="72">
        <v>3.0047438142127522E-3</v>
      </c>
      <c r="J38" s="72">
        <v>3.9315617704782525E-3</v>
      </c>
      <c r="K38" s="72">
        <v>4.8583797267437532E-3</v>
      </c>
    </row>
    <row r="39" spans="2:11" x14ac:dyDescent="0.3">
      <c r="B39" s="47"/>
      <c r="C39" s="47"/>
      <c r="D39" s="73" t="s">
        <v>75</v>
      </c>
      <c r="E39" s="52">
        <v>3.6744155705792478E-4</v>
      </c>
      <c r="F39" s="72">
        <v>3.6156249214499796E-5</v>
      </c>
      <c r="G39" s="72">
        <v>9.1272482773188522E-5</v>
      </c>
      <c r="H39" s="72">
        <v>1.6476079418477349E-4</v>
      </c>
      <c r="I39" s="72">
        <v>2.3824910559635843E-4</v>
      </c>
      <c r="J39" s="72">
        <v>3.1173741700794339E-4</v>
      </c>
      <c r="K39" s="72">
        <v>3.8522572841952836E-4</v>
      </c>
    </row>
    <row r="40" spans="2:11" x14ac:dyDescent="0.3">
      <c r="B40" s="47"/>
      <c r="C40" s="48"/>
      <c r="D40" s="51" t="s">
        <v>76</v>
      </c>
      <c r="E40" s="52">
        <v>4.5772040436675094E-3</v>
      </c>
      <c r="F40" s="72">
        <v>4.5039687789688294E-4</v>
      </c>
      <c r="G40" s="72">
        <v>1.1369774844470094E-3</v>
      </c>
      <c r="H40" s="72">
        <v>2.0524182931805114E-3</v>
      </c>
      <c r="I40" s="72">
        <v>2.967859101914013E-3</v>
      </c>
      <c r="J40" s="72">
        <v>3.8832999106475151E-3</v>
      </c>
      <c r="K40" s="72">
        <v>4.7987407193810167E-3</v>
      </c>
    </row>
    <row r="41" spans="2:11" x14ac:dyDescent="0.3">
      <c r="B41" s="53" t="s">
        <v>24</v>
      </c>
      <c r="C41" s="54" t="str">
        <f>C35</f>
        <v>China</v>
      </c>
      <c r="D41" s="51" t="s">
        <v>74</v>
      </c>
      <c r="E41" s="52">
        <v>4.6996014347679312E-3</v>
      </c>
      <c r="F41" s="72">
        <v>4.6244078118116446E-4</v>
      </c>
      <c r="G41" s="72">
        <v>1.1673809963963541E-3</v>
      </c>
      <c r="H41" s="72">
        <v>2.1073012833499405E-3</v>
      </c>
      <c r="I41" s="72">
        <v>3.0472215703035263E-3</v>
      </c>
      <c r="J41" s="72">
        <v>3.987141857257113E-3</v>
      </c>
      <c r="K41" s="72">
        <v>4.9270621442106992E-3</v>
      </c>
    </row>
    <row r="42" spans="2:11" x14ac:dyDescent="0.3">
      <c r="B42" s="47"/>
      <c r="C42" s="48"/>
      <c r="D42" s="51" t="s">
        <v>75</v>
      </c>
      <c r="E42" s="52">
        <v>3.7514761461772292E-4</v>
      </c>
      <c r="F42" s="72">
        <v>3.6914525278383933E-5</v>
      </c>
      <c r="G42" s="72">
        <v>9.3186667471042371E-5</v>
      </c>
      <c r="H42" s="72">
        <v>1.6821619039458695E-4</v>
      </c>
      <c r="I42" s="72">
        <v>2.4324571331813154E-4</v>
      </c>
      <c r="J42" s="72">
        <v>3.1827523624167615E-4</v>
      </c>
      <c r="K42" s="72">
        <v>3.9330475916522073E-4</v>
      </c>
    </row>
    <row r="43" spans="2:11" x14ac:dyDescent="0.3">
      <c r="B43" s="47"/>
      <c r="C43" s="48"/>
      <c r="D43" s="51" t="s">
        <v>76</v>
      </c>
      <c r="E43" s="52">
        <v>4.6420657176403221E-3</v>
      </c>
      <c r="F43" s="72">
        <v>4.567792666158077E-4</v>
      </c>
      <c r="G43" s="72">
        <v>1.153089124261856E-3</v>
      </c>
      <c r="H43" s="72">
        <v>2.0815022677899207E-3</v>
      </c>
      <c r="I43" s="72">
        <v>3.0099154113179846E-3</v>
      </c>
      <c r="J43" s="72">
        <v>3.9383285548460498E-3</v>
      </c>
      <c r="K43" s="72">
        <v>4.8667416983741137E-3</v>
      </c>
    </row>
    <row r="44" spans="2:11" x14ac:dyDescent="0.3">
      <c r="B44" s="53" t="s">
        <v>30</v>
      </c>
      <c r="C44" s="54" t="str">
        <f>C35</f>
        <v>China</v>
      </c>
      <c r="D44" s="51" t="s">
        <v>74</v>
      </c>
      <c r="E44" s="52">
        <v>9.3199901410587847E-3</v>
      </c>
      <c r="F44" s="72">
        <v>9.170870298801844E-4</v>
      </c>
      <c r="G44" s="72">
        <v>2.3150855510390023E-3</v>
      </c>
      <c r="H44" s="72">
        <v>4.1790835792507594E-3</v>
      </c>
      <c r="I44" s="72">
        <v>6.0430816074625157E-3</v>
      </c>
      <c r="J44" s="72">
        <v>7.9070796356742728E-3</v>
      </c>
      <c r="K44" s="72">
        <v>9.771077663886029E-3</v>
      </c>
    </row>
    <row r="45" spans="2:11" x14ac:dyDescent="0.3">
      <c r="B45" s="47"/>
      <c r="C45" s="48"/>
      <c r="D45" s="51" t="s">
        <v>75</v>
      </c>
      <c r="E45" s="52">
        <v>1.034381861513058E-3</v>
      </c>
      <c r="F45" s="72">
        <v>1.017831751728849E-4</v>
      </c>
      <c r="G45" s="72">
        <v>2.5694045439984359E-4</v>
      </c>
      <c r="H45" s="72">
        <v>4.6381682670245522E-4</v>
      </c>
      <c r="I45" s="72">
        <v>6.7069319900506675E-4</v>
      </c>
      <c r="J45" s="72">
        <v>8.7756957130767838E-4</v>
      </c>
      <c r="K45" s="72">
        <v>1.08444594361029E-3</v>
      </c>
    </row>
    <row r="46" spans="2:11" x14ac:dyDescent="0.3">
      <c r="B46" s="55"/>
      <c r="C46" s="56"/>
      <c r="D46" s="51" t="s">
        <v>76</v>
      </c>
      <c r="E46" s="52">
        <v>9.2209433176422776E-3</v>
      </c>
      <c r="F46" s="72">
        <v>9.0734082245600008E-4</v>
      </c>
      <c r="G46" s="72">
        <v>2.2904823201023417E-3</v>
      </c>
      <c r="H46" s="72">
        <v>4.1346709836307975E-3</v>
      </c>
      <c r="I46" s="72">
        <v>5.9788596471592528E-3</v>
      </c>
      <c r="J46" s="72">
        <v>7.823048310687709E-3</v>
      </c>
      <c r="K46" s="72">
        <v>9.6672369742161635E-3</v>
      </c>
    </row>
    <row r="47" spans="2:11" x14ac:dyDescent="0.3">
      <c r="B47" s="53" t="s">
        <v>46</v>
      </c>
      <c r="C47" s="54" t="str">
        <f>C35</f>
        <v>China</v>
      </c>
      <c r="D47" s="51" t="s">
        <v>74</v>
      </c>
      <c r="E47" s="52">
        <v>1.9069716451113529E-2</v>
      </c>
      <c r="F47" s="72">
        <v>1.8764600987895713E-3</v>
      </c>
      <c r="G47" s="72">
        <v>4.7369175664566006E-3</v>
      </c>
      <c r="H47" s="72">
        <v>8.550860856679306E-3</v>
      </c>
      <c r="I47" s="72">
        <v>1.2364804146902011E-2</v>
      </c>
      <c r="J47" s="72">
        <v>1.6178747437124719E-2</v>
      </c>
      <c r="K47" s="72">
        <v>1.9992690727347422E-2</v>
      </c>
    </row>
    <row r="48" spans="2:11" x14ac:dyDescent="0.3">
      <c r="B48" s="47"/>
      <c r="C48" s="48"/>
      <c r="D48" s="51" t="s">
        <v>75</v>
      </c>
      <c r="E48" s="52">
        <v>3.0060238594594854E-3</v>
      </c>
      <c r="F48" s="72">
        <v>2.9579274777081339E-4</v>
      </c>
      <c r="G48" s="72">
        <v>7.4669632668973617E-4</v>
      </c>
      <c r="H48" s="72">
        <v>1.3479010985816334E-3</v>
      </c>
      <c r="I48" s="72">
        <v>1.9491058704735303E-3</v>
      </c>
      <c r="J48" s="72">
        <v>2.5503106423654274E-3</v>
      </c>
      <c r="K48" s="72">
        <v>3.1515154142573243E-3</v>
      </c>
    </row>
    <row r="49" spans="2:11" x14ac:dyDescent="0.3">
      <c r="B49" s="47"/>
      <c r="C49" s="48"/>
      <c r="D49" s="51" t="s">
        <v>76</v>
      </c>
      <c r="E49" s="52">
        <v>1.8900093056845375E-2</v>
      </c>
      <c r="F49" s="72">
        <v>1.8597691567935849E-3</v>
      </c>
      <c r="G49" s="72">
        <v>4.6947831153203914E-3</v>
      </c>
      <c r="H49" s="72">
        <v>8.4748017266894661E-3</v>
      </c>
      <c r="I49" s="72">
        <v>1.2254820338058541E-2</v>
      </c>
      <c r="J49" s="72">
        <v>1.6034838949427616E-2</v>
      </c>
      <c r="K49" s="72">
        <v>1.9814857560796692E-2</v>
      </c>
    </row>
    <row r="50" spans="2:11" x14ac:dyDescent="0.3">
      <c r="B50" s="53" t="s">
        <v>50</v>
      </c>
      <c r="C50" s="54" t="str">
        <f>C35</f>
        <v>China</v>
      </c>
      <c r="D50" s="51" t="s">
        <v>74</v>
      </c>
      <c r="E50" s="52">
        <v>3.9631497845083075E-2</v>
      </c>
      <c r="F50" s="72">
        <v>3.8997393879561747E-3</v>
      </c>
      <c r="G50" s="72">
        <v>9.8444640647186357E-3</v>
      </c>
      <c r="H50" s="72">
        <v>1.777076363373525E-2</v>
      </c>
      <c r="I50" s="72">
        <v>2.5697063202751863E-2</v>
      </c>
      <c r="J50" s="72">
        <v>3.3623362771768479E-2</v>
      </c>
      <c r="K50" s="72">
        <v>4.1549662340785096E-2</v>
      </c>
    </row>
    <row r="51" spans="2:11" x14ac:dyDescent="0.3">
      <c r="B51" s="47"/>
      <c r="C51" s="48"/>
      <c r="D51" s="51" t="s">
        <v>75</v>
      </c>
      <c r="E51" s="52">
        <v>9.0525352482832659E-3</v>
      </c>
      <c r="F51" s="72">
        <v>8.9076946843107336E-4</v>
      </c>
      <c r="G51" s="72">
        <v>2.2486497556735634E-3</v>
      </c>
      <c r="H51" s="72">
        <v>4.059156805330217E-3</v>
      </c>
      <c r="I51" s="72">
        <v>5.8696638549868693E-3</v>
      </c>
      <c r="J51" s="72">
        <v>7.6801709046435233E-3</v>
      </c>
      <c r="K51" s="72">
        <v>9.4906779543001765E-3</v>
      </c>
    </row>
    <row r="52" spans="2:11" x14ac:dyDescent="0.3">
      <c r="B52" s="47"/>
      <c r="C52" s="48"/>
      <c r="D52" s="51" t="s">
        <v>76</v>
      </c>
      <c r="E52" s="52">
        <v>3.9351991673862351E-2</v>
      </c>
      <c r="F52" s="72">
        <v>3.8722359807080555E-3</v>
      </c>
      <c r="G52" s="72">
        <v>9.7750347317874086E-3</v>
      </c>
      <c r="H52" s="72">
        <v>1.7645433066559878E-2</v>
      </c>
      <c r="I52" s="72">
        <v>2.5515831401332349E-2</v>
      </c>
      <c r="J52" s="72">
        <v>3.3386229736104819E-2</v>
      </c>
      <c r="K52" s="72">
        <v>4.1256628070877287E-2</v>
      </c>
    </row>
    <row r="53" spans="2:11" x14ac:dyDescent="0.3">
      <c r="B53" s="53" t="s">
        <v>53</v>
      </c>
      <c r="C53" s="54" t="str">
        <f>C35</f>
        <v>China</v>
      </c>
      <c r="D53" s="51" t="s">
        <v>74</v>
      </c>
      <c r="E53" s="52">
        <v>6.7969018241810467E-2</v>
      </c>
      <c r="F53" s="72">
        <v>6.6881513949941501E-3</v>
      </c>
      <c r="G53" s="72">
        <v>1.6883504131265721E-2</v>
      </c>
      <c r="H53" s="72">
        <v>3.0477307779627816E-2</v>
      </c>
      <c r="I53" s="72">
        <v>4.4071111427989904E-2</v>
      </c>
      <c r="J53" s="72">
        <v>5.7664915076352005E-2</v>
      </c>
      <c r="K53" s="72">
        <v>7.1258718724714093E-2</v>
      </c>
    </row>
    <row r="54" spans="2:11" x14ac:dyDescent="0.3">
      <c r="B54" s="47"/>
      <c r="C54" s="48"/>
      <c r="D54" s="51" t="s">
        <v>75</v>
      </c>
      <c r="E54" s="52">
        <v>2.0693370534228595E-2</v>
      </c>
      <c r="F54" s="72">
        <v>2.0362276605680935E-3</v>
      </c>
      <c r="G54" s="72">
        <v>5.1402332407023835E-3</v>
      </c>
      <c r="H54" s="72">
        <v>9.2789073475481026E-3</v>
      </c>
      <c r="I54" s="72">
        <v>1.3417581454393821E-2</v>
      </c>
      <c r="J54" s="72">
        <v>1.7556255561239541E-2</v>
      </c>
      <c r="K54" s="72">
        <v>2.1694929668085259E-2</v>
      </c>
    </row>
    <row r="55" spans="2:11" x14ac:dyDescent="0.3">
      <c r="B55" s="47"/>
      <c r="C55" s="48"/>
      <c r="D55" s="51" t="s">
        <v>76</v>
      </c>
      <c r="E55" s="52">
        <v>6.7586562138173212E-2</v>
      </c>
      <c r="F55" s="72">
        <v>6.6505177143962443E-3</v>
      </c>
      <c r="G55" s="72">
        <v>1.6788502035122225E-2</v>
      </c>
      <c r="H55" s="72">
        <v>3.0305814462756868E-2</v>
      </c>
      <c r="I55" s="72">
        <v>4.3823126890391507E-2</v>
      </c>
      <c r="J55" s="72">
        <v>5.7340439318026154E-2</v>
      </c>
      <c r="K55" s="72">
        <v>7.0857751745660794E-2</v>
      </c>
    </row>
    <row r="56" spans="2:11" x14ac:dyDescent="0.3">
      <c r="B56" s="53" t="s">
        <v>55</v>
      </c>
      <c r="C56" s="54" t="str">
        <f>C35</f>
        <v>China</v>
      </c>
      <c r="D56" s="51" t="s">
        <v>74</v>
      </c>
      <c r="E56" s="74">
        <v>0.1522533968733934</v>
      </c>
      <c r="F56" s="72">
        <v>1.4981734252341911E-2</v>
      </c>
      <c r="G56" s="72">
        <v>3.7819743783350922E-2</v>
      </c>
      <c r="H56" s="72">
        <v>6.82704231580296E-2</v>
      </c>
      <c r="I56" s="72">
        <v>9.8721102532708271E-2</v>
      </c>
      <c r="J56" s="72">
        <v>0.12917178190738696</v>
      </c>
      <c r="K56" s="72">
        <v>0.15962246128206564</v>
      </c>
    </row>
    <row r="57" spans="2:11" x14ac:dyDescent="0.3">
      <c r="B57" s="47"/>
      <c r="C57" s="48"/>
      <c r="D57" s="51" t="s">
        <v>75</v>
      </c>
      <c r="E57" s="74">
        <v>7.3810609044799927E-2</v>
      </c>
      <c r="F57" s="72">
        <v>7.2629639300083133E-3</v>
      </c>
      <c r="G57" s="72">
        <v>1.8334555286728303E-2</v>
      </c>
      <c r="H57" s="72">
        <v>3.3096677095688289E-2</v>
      </c>
      <c r="I57" s="72">
        <v>4.7858798904648274E-2</v>
      </c>
      <c r="J57" s="72">
        <v>6.2620920713608266E-2</v>
      </c>
      <c r="K57" s="72">
        <v>7.7383042522568238E-2</v>
      </c>
    </row>
    <row r="58" spans="2:11" x14ac:dyDescent="0.3">
      <c r="B58" s="47"/>
      <c r="C58" s="48"/>
      <c r="D58" s="51" t="s">
        <v>76</v>
      </c>
      <c r="E58" s="74">
        <v>0.15174161717035908</v>
      </c>
      <c r="F58" s="72">
        <v>1.4931375129563334E-2</v>
      </c>
      <c r="G58" s="72">
        <v>3.7692617705117198E-2</v>
      </c>
      <c r="H58" s="72">
        <v>6.8040941139189015E-2</v>
      </c>
      <c r="I58" s="72">
        <v>9.8389264573260832E-2</v>
      </c>
      <c r="J58" s="72">
        <v>0.12873758800733265</v>
      </c>
      <c r="K58" s="72">
        <v>0.15908591144140447</v>
      </c>
    </row>
    <row r="59" spans="2:11" x14ac:dyDescent="0.3">
      <c r="B59" s="53" t="s">
        <v>58</v>
      </c>
      <c r="C59" s="54" t="str">
        <f>C35</f>
        <v>China</v>
      </c>
      <c r="D59" s="51" t="s">
        <v>74</v>
      </c>
      <c r="E59" s="74">
        <v>0.48607860620889931</v>
      </c>
      <c r="F59" s="72">
        <v>4.7830134850955691E-2</v>
      </c>
      <c r="G59" s="72">
        <v>0.12074192578229059</v>
      </c>
      <c r="H59" s="72">
        <v>0.21795764702407047</v>
      </c>
      <c r="I59" s="72">
        <v>0.3151733682658503</v>
      </c>
      <c r="J59" s="72">
        <v>0.4123890895076302</v>
      </c>
      <c r="K59" s="72">
        <v>0.50960481074941</v>
      </c>
    </row>
    <row r="60" spans="2:11" x14ac:dyDescent="0.3">
      <c r="B60" s="47"/>
      <c r="C60" s="48"/>
      <c r="D60" s="51" t="s">
        <v>75</v>
      </c>
      <c r="E60" s="74">
        <v>0.47949197242315977</v>
      </c>
      <c r="F60" s="72">
        <v>4.7182010086438922E-2</v>
      </c>
      <c r="G60" s="72">
        <v>0.11910580594991289</v>
      </c>
      <c r="H60" s="72">
        <v>0.21500420043454485</v>
      </c>
      <c r="I60" s="72">
        <v>0.31090259491917677</v>
      </c>
      <c r="J60" s="72">
        <v>0.40680098940380877</v>
      </c>
      <c r="K60" s="72">
        <v>0.50269938388844071</v>
      </c>
    </row>
    <row r="61" spans="2:11" x14ac:dyDescent="0.3">
      <c r="B61" s="47"/>
      <c r="C61" s="48"/>
      <c r="D61" s="51" t="s">
        <v>76</v>
      </c>
      <c r="E61" s="74">
        <v>0.48604641241092833</v>
      </c>
      <c r="F61" s="72">
        <v>4.7826966981235348E-2</v>
      </c>
      <c r="G61" s="72">
        <v>0.12073392884287461</v>
      </c>
      <c r="H61" s="72">
        <v>0.21794321132506028</v>
      </c>
      <c r="I61" s="72">
        <v>0.31515249380724591</v>
      </c>
      <c r="J61" s="72">
        <v>0.4123617762894316</v>
      </c>
      <c r="K61" s="72">
        <v>0.50957105877161724</v>
      </c>
    </row>
    <row r="62" spans="2:11" x14ac:dyDescent="0.3">
      <c r="B62" s="53" t="s">
        <v>60</v>
      </c>
      <c r="C62" s="54" t="str">
        <f>C35</f>
        <v>China</v>
      </c>
      <c r="D62" s="51" t="s">
        <v>74</v>
      </c>
      <c r="E62" s="75">
        <v>1</v>
      </c>
      <c r="F62" s="72">
        <v>9.8400000000000001E-2</v>
      </c>
      <c r="G62" s="72">
        <v>0.24840000000000001</v>
      </c>
      <c r="H62" s="72">
        <v>0.44840000000000002</v>
      </c>
      <c r="I62" s="72">
        <v>0.64839999999999998</v>
      </c>
      <c r="J62" s="72">
        <v>0.84840000000000004</v>
      </c>
      <c r="K62" s="72">
        <v>1.0484</v>
      </c>
    </row>
    <row r="63" spans="2:11" x14ac:dyDescent="0.3">
      <c r="B63" s="47"/>
      <c r="C63" s="48"/>
      <c r="D63" s="51" t="s">
        <v>75</v>
      </c>
      <c r="E63" s="75">
        <v>1</v>
      </c>
      <c r="F63" s="72">
        <v>9.8400000000000001E-2</v>
      </c>
      <c r="G63" s="72">
        <v>0.24840000000000001</v>
      </c>
      <c r="H63" s="72">
        <v>0.44840000000000002</v>
      </c>
      <c r="I63" s="72">
        <v>0.64839999999999998</v>
      </c>
      <c r="J63" s="72">
        <v>0.84840000000000004</v>
      </c>
      <c r="K63" s="72">
        <v>1.0484</v>
      </c>
    </row>
    <row r="64" spans="2:11" ht="15" thickBot="1" x14ac:dyDescent="0.35">
      <c r="B64" s="57"/>
      <c r="C64" s="58"/>
      <c r="D64" s="76" t="s">
        <v>76</v>
      </c>
      <c r="E64" s="77">
        <v>1</v>
      </c>
      <c r="F64" s="78">
        <v>9.8400000000000001E-2</v>
      </c>
      <c r="G64" s="78">
        <v>0.24840000000000001</v>
      </c>
      <c r="H64" s="78">
        <v>0.44840000000000002</v>
      </c>
      <c r="I64" s="78">
        <v>0.64839999999999998</v>
      </c>
      <c r="J64" s="78">
        <v>0.84840000000000004</v>
      </c>
      <c r="K64" s="78">
        <v>1.0484</v>
      </c>
    </row>
    <row r="65" spans="2:11" x14ac:dyDescent="0.3">
      <c r="B65" s="33" t="s">
        <v>13</v>
      </c>
      <c r="C65" s="34" t="s">
        <v>94</v>
      </c>
      <c r="D65" s="39" t="s">
        <v>74</v>
      </c>
      <c r="E65" s="63">
        <v>1.9302843242557798E-3</v>
      </c>
      <c r="F65" s="61">
        <v>1.8993997750676872E-4</v>
      </c>
      <c r="G65" s="61">
        <v>4.7948262614513573E-4</v>
      </c>
      <c r="H65" s="61">
        <v>8.6553949099629171E-4</v>
      </c>
      <c r="I65" s="61">
        <v>1.2515963558474476E-3</v>
      </c>
      <c r="J65" s="61">
        <v>1.6376532206986037E-3</v>
      </c>
      <c r="K65" s="61">
        <v>2.0237100855497593E-3</v>
      </c>
    </row>
    <row r="66" spans="2:11" x14ac:dyDescent="0.3">
      <c r="B66" s="35"/>
      <c r="C66" s="36"/>
      <c r="D66" s="39" t="s">
        <v>75</v>
      </c>
      <c r="E66" s="63">
        <v>4.6114910738114812E-5</v>
      </c>
      <c r="F66" s="61">
        <v>4.537707216630498E-6</v>
      </c>
      <c r="G66" s="61">
        <v>1.1454943827347719E-5</v>
      </c>
      <c r="H66" s="61">
        <v>2.0677925974970683E-5</v>
      </c>
      <c r="I66" s="61">
        <v>2.9900908122593642E-5</v>
      </c>
      <c r="J66" s="61">
        <v>3.9123890270216608E-5</v>
      </c>
      <c r="K66" s="61">
        <v>4.834687241783957E-5</v>
      </c>
    </row>
    <row r="67" spans="2:11" x14ac:dyDescent="0.3">
      <c r="B67" s="35"/>
      <c r="C67" s="36"/>
      <c r="D67" s="39" t="s">
        <v>76</v>
      </c>
      <c r="E67" s="63">
        <v>2.1008850194993191E-3</v>
      </c>
      <c r="F67" s="61">
        <v>2.0672708591873301E-4</v>
      </c>
      <c r="G67" s="61">
        <v>5.218598388436309E-4</v>
      </c>
      <c r="H67" s="61">
        <v>9.4203684274349472E-4</v>
      </c>
      <c r="I67" s="61">
        <v>1.3622138466433584E-3</v>
      </c>
      <c r="J67" s="61">
        <v>1.7823908505432225E-3</v>
      </c>
      <c r="K67" s="61">
        <v>2.2025678544430861E-3</v>
      </c>
    </row>
    <row r="68" spans="2:11" x14ac:dyDescent="0.3">
      <c r="B68" s="37" t="s">
        <v>19</v>
      </c>
      <c r="C68" s="38" t="str">
        <f>C65</f>
        <v>Japan</v>
      </c>
      <c r="D68" s="39" t="s">
        <v>74</v>
      </c>
      <c r="E68" s="40">
        <v>1.0268638348091812E-2</v>
      </c>
      <c r="F68" s="61">
        <v>1.0104340134522343E-3</v>
      </c>
      <c r="G68" s="61">
        <v>2.5507297656660061E-3</v>
      </c>
      <c r="H68" s="61">
        <v>4.6044574352843686E-3</v>
      </c>
      <c r="I68" s="61">
        <v>6.6581851049027311E-3</v>
      </c>
      <c r="J68" s="61">
        <v>8.7119127745210936E-3</v>
      </c>
      <c r="K68" s="61">
        <v>1.0765640444139456E-2</v>
      </c>
    </row>
    <row r="69" spans="2:11" x14ac:dyDescent="0.3">
      <c r="B69" s="35"/>
      <c r="C69" s="35"/>
      <c r="D69" s="64" t="s">
        <v>75</v>
      </c>
      <c r="E69" s="40">
        <v>6.7352688040887843E-4</v>
      </c>
      <c r="F69" s="61">
        <v>6.6275045032233637E-5</v>
      </c>
      <c r="G69" s="61">
        <v>1.673040770935654E-4</v>
      </c>
      <c r="H69" s="61">
        <v>3.0200945317534111E-4</v>
      </c>
      <c r="I69" s="61">
        <v>4.3671482925711674E-4</v>
      </c>
      <c r="J69" s="61">
        <v>5.7142020533889248E-4</v>
      </c>
      <c r="K69" s="61">
        <v>7.0612558142066817E-4</v>
      </c>
    </row>
    <row r="70" spans="2:11" x14ac:dyDescent="0.3">
      <c r="B70" s="35"/>
      <c r="C70" s="36"/>
      <c r="D70" s="39" t="s">
        <v>76</v>
      </c>
      <c r="E70" s="40">
        <v>1.0919098080654768E-2</v>
      </c>
      <c r="F70" s="61">
        <v>1.0744392511364291E-3</v>
      </c>
      <c r="G70" s="61">
        <v>2.7123039632346445E-3</v>
      </c>
      <c r="H70" s="61">
        <v>4.8961235793655985E-3</v>
      </c>
      <c r="I70" s="61">
        <v>7.0799431954965512E-3</v>
      </c>
      <c r="J70" s="61">
        <v>9.2637628116275048E-3</v>
      </c>
      <c r="K70" s="61">
        <v>1.1447582427758458E-2</v>
      </c>
    </row>
    <row r="71" spans="2:11" x14ac:dyDescent="0.3">
      <c r="B71" s="33" t="s">
        <v>24</v>
      </c>
      <c r="C71" s="34" t="str">
        <f>C65</f>
        <v>Japan</v>
      </c>
      <c r="D71" s="39" t="s">
        <v>74</v>
      </c>
      <c r="E71" s="40">
        <v>1.0391402647750956E-2</v>
      </c>
      <c r="F71" s="61">
        <v>1.0225140205386942E-3</v>
      </c>
      <c r="G71" s="61">
        <v>2.5812244177013375E-3</v>
      </c>
      <c r="H71" s="61">
        <v>4.659504947251529E-3</v>
      </c>
      <c r="I71" s="61">
        <v>6.7377854768017201E-3</v>
      </c>
      <c r="J71" s="61">
        <v>8.8160660063519112E-3</v>
      </c>
      <c r="K71" s="61">
        <v>1.0894346535902103E-2</v>
      </c>
    </row>
    <row r="72" spans="2:11" x14ac:dyDescent="0.3">
      <c r="B72" s="35"/>
      <c r="C72" s="36"/>
      <c r="D72" s="39" t="s">
        <v>75</v>
      </c>
      <c r="E72" s="40">
        <v>6.8656057194629069E-4</v>
      </c>
      <c r="F72" s="61">
        <v>6.7557560279515007E-5</v>
      </c>
      <c r="G72" s="61">
        <v>1.7054164607145861E-4</v>
      </c>
      <c r="H72" s="61">
        <v>3.0785376046071677E-4</v>
      </c>
      <c r="I72" s="61">
        <v>4.4516587484997488E-4</v>
      </c>
      <c r="J72" s="61">
        <v>5.8247798923923304E-4</v>
      </c>
      <c r="K72" s="61">
        <v>7.197901036284912E-4</v>
      </c>
    </row>
    <row r="73" spans="2:11" x14ac:dyDescent="0.3">
      <c r="B73" s="35"/>
      <c r="C73" s="36"/>
      <c r="D73" s="39" t="s">
        <v>76</v>
      </c>
      <c r="E73" s="40">
        <v>1.1047771213698283E-2</v>
      </c>
      <c r="F73" s="61">
        <v>1.087100687427911E-3</v>
      </c>
      <c r="G73" s="61">
        <v>2.7442663694826537E-3</v>
      </c>
      <c r="H73" s="61">
        <v>4.9538206122223104E-3</v>
      </c>
      <c r="I73" s="61">
        <v>7.1633748549619659E-3</v>
      </c>
      <c r="J73" s="61">
        <v>9.3729290977016232E-3</v>
      </c>
      <c r="K73" s="61">
        <v>1.158248334044128E-2</v>
      </c>
    </row>
    <row r="74" spans="2:11" x14ac:dyDescent="0.3">
      <c r="B74" s="33" t="s">
        <v>30</v>
      </c>
      <c r="C74" s="34" t="str">
        <f>C65</f>
        <v>Japan</v>
      </c>
      <c r="D74" s="39" t="s">
        <v>74</v>
      </c>
      <c r="E74" s="40">
        <v>1.8533602438542428E-2</v>
      </c>
      <c r="F74" s="61">
        <v>1.8237064799525749E-3</v>
      </c>
      <c r="G74" s="61">
        <v>4.6037468457339392E-3</v>
      </c>
      <c r="H74" s="61">
        <v>8.3104673334424249E-3</v>
      </c>
      <c r="I74" s="61">
        <v>1.201718782115091E-2</v>
      </c>
      <c r="J74" s="61">
        <v>1.5723908308859398E-2</v>
      </c>
      <c r="K74" s="61">
        <v>1.9430628796567883E-2</v>
      </c>
    </row>
    <row r="75" spans="2:11" x14ac:dyDescent="0.3">
      <c r="B75" s="35"/>
      <c r="C75" s="36"/>
      <c r="D75" s="39" t="s">
        <v>75</v>
      </c>
      <c r="E75" s="40">
        <v>1.7512318777221296E-3</v>
      </c>
      <c r="F75" s="61">
        <v>1.7232121676785756E-4</v>
      </c>
      <c r="G75" s="61">
        <v>4.3500599842617699E-4</v>
      </c>
      <c r="H75" s="61">
        <v>7.8525237397060292E-4</v>
      </c>
      <c r="I75" s="61">
        <v>1.1354987495150288E-3</v>
      </c>
      <c r="J75" s="61">
        <v>1.4857451250594549E-3</v>
      </c>
      <c r="K75" s="61">
        <v>1.8359915006038808E-3</v>
      </c>
    </row>
    <row r="76" spans="2:11" x14ac:dyDescent="0.3">
      <c r="B76" s="41"/>
      <c r="C76" s="42"/>
      <c r="D76" s="39" t="s">
        <v>76</v>
      </c>
      <c r="E76" s="40">
        <v>1.9540825431248486E-2</v>
      </c>
      <c r="F76" s="61">
        <v>1.922817222434851E-3</v>
      </c>
      <c r="G76" s="61">
        <v>4.8539410371221245E-3</v>
      </c>
      <c r="H76" s="61">
        <v>8.7621061233718218E-3</v>
      </c>
      <c r="I76" s="61">
        <v>1.2670271209621518E-2</v>
      </c>
      <c r="J76" s="61">
        <v>1.6578436295871215E-2</v>
      </c>
      <c r="K76" s="61">
        <v>2.0486601382120911E-2</v>
      </c>
    </row>
    <row r="77" spans="2:11" x14ac:dyDescent="0.3">
      <c r="B77" s="33" t="s">
        <v>46</v>
      </c>
      <c r="C77" s="34" t="str">
        <f>C65</f>
        <v>Japan</v>
      </c>
      <c r="D77" s="39" t="s">
        <v>74</v>
      </c>
      <c r="E77" s="40">
        <v>3.3841359642916916E-2</v>
      </c>
      <c r="F77" s="61">
        <v>3.3299897888630246E-3</v>
      </c>
      <c r="G77" s="61">
        <v>8.4061937353005628E-3</v>
      </c>
      <c r="H77" s="61">
        <v>1.5174465663883946E-2</v>
      </c>
      <c r="I77" s="61">
        <v>2.1942737592467326E-2</v>
      </c>
      <c r="J77" s="61">
        <v>2.8711009521050712E-2</v>
      </c>
      <c r="K77" s="61">
        <v>3.5479281449634095E-2</v>
      </c>
    </row>
    <row r="78" spans="2:11" x14ac:dyDescent="0.3">
      <c r="B78" s="35"/>
      <c r="C78" s="36"/>
      <c r="D78" s="39" t="s">
        <v>75</v>
      </c>
      <c r="E78" s="40">
        <v>4.6855537507869815E-3</v>
      </c>
      <c r="F78" s="61">
        <v>4.6105848907743901E-4</v>
      </c>
      <c r="G78" s="61">
        <v>1.1638915516954862E-3</v>
      </c>
      <c r="H78" s="61">
        <v>2.1010023018528828E-3</v>
      </c>
      <c r="I78" s="61">
        <v>3.0381130520102787E-3</v>
      </c>
      <c r="J78" s="61">
        <v>3.9752238021676751E-3</v>
      </c>
      <c r="K78" s="61">
        <v>4.9123345523250711E-3</v>
      </c>
    </row>
    <row r="79" spans="2:11" x14ac:dyDescent="0.3">
      <c r="B79" s="35"/>
      <c r="C79" s="36"/>
      <c r="D79" s="39" t="s">
        <v>76</v>
      </c>
      <c r="E79" s="40">
        <v>3.5362997829485876E-2</v>
      </c>
      <c r="F79" s="61">
        <v>3.4797189864214104E-3</v>
      </c>
      <c r="G79" s="61">
        <v>8.7841686608442927E-3</v>
      </c>
      <c r="H79" s="61">
        <v>1.5856768226741466E-2</v>
      </c>
      <c r="I79" s="61">
        <v>2.2929367792638641E-2</v>
      </c>
      <c r="J79" s="61">
        <v>3.000196735853582E-2</v>
      </c>
      <c r="K79" s="61">
        <v>3.7074566924432992E-2</v>
      </c>
    </row>
    <row r="80" spans="2:11" x14ac:dyDescent="0.3">
      <c r="B80" s="33" t="s">
        <v>50</v>
      </c>
      <c r="C80" s="34" t="str">
        <f>C65</f>
        <v>Japan</v>
      </c>
      <c r="D80" s="39" t="s">
        <v>74</v>
      </c>
      <c r="E80" s="40">
        <v>6.2323041305126954E-2</v>
      </c>
      <c r="F80" s="61">
        <v>6.132587264424492E-3</v>
      </c>
      <c r="G80" s="61">
        <v>1.5481043460193536E-2</v>
      </c>
      <c r="H80" s="61">
        <v>2.7945651721218927E-2</v>
      </c>
      <c r="I80" s="61">
        <v>4.0410259982244318E-2</v>
      </c>
      <c r="J80" s="61">
        <v>5.2874868243269708E-2</v>
      </c>
      <c r="K80" s="61">
        <v>6.5339476504295099E-2</v>
      </c>
    </row>
    <row r="81" spans="2:11" x14ac:dyDescent="0.3">
      <c r="B81" s="35"/>
      <c r="C81" s="36"/>
      <c r="D81" s="39" t="s">
        <v>75</v>
      </c>
      <c r="E81" s="40">
        <v>1.2933667092283361E-2</v>
      </c>
      <c r="F81" s="61">
        <v>1.2726728418806827E-3</v>
      </c>
      <c r="G81" s="61">
        <v>3.2127229057231869E-3</v>
      </c>
      <c r="H81" s="61">
        <v>5.7994563241798589E-3</v>
      </c>
      <c r="I81" s="61">
        <v>8.3861897426365309E-3</v>
      </c>
      <c r="J81" s="61">
        <v>1.0972923161093204E-2</v>
      </c>
      <c r="K81" s="61">
        <v>1.3559656579549875E-2</v>
      </c>
    </row>
    <row r="82" spans="2:11" x14ac:dyDescent="0.3">
      <c r="B82" s="35"/>
      <c r="C82" s="36"/>
      <c r="D82" s="39" t="s">
        <v>76</v>
      </c>
      <c r="E82" s="40">
        <v>6.4512082241736074E-2</v>
      </c>
      <c r="F82" s="61">
        <v>6.3479888925868297E-3</v>
      </c>
      <c r="G82" s="61">
        <v>1.6024801228847241E-2</v>
      </c>
      <c r="H82" s="61">
        <v>2.8927217677194458E-2</v>
      </c>
      <c r="I82" s="61">
        <v>4.1829634125541672E-2</v>
      </c>
      <c r="J82" s="61">
        <v>5.4732050573888885E-2</v>
      </c>
      <c r="K82" s="61">
        <v>6.7634467022236106E-2</v>
      </c>
    </row>
    <row r="83" spans="2:11" x14ac:dyDescent="0.3">
      <c r="B83" s="33" t="s">
        <v>53</v>
      </c>
      <c r="C83" s="34" t="str">
        <f>C65</f>
        <v>Japan</v>
      </c>
      <c r="D83" s="39" t="s">
        <v>74</v>
      </c>
      <c r="E83" s="40">
        <v>9.738647473223748E-2</v>
      </c>
      <c r="F83" s="61">
        <v>9.5828291136521686E-3</v>
      </c>
      <c r="G83" s="61">
        <v>2.4190800323487791E-2</v>
      </c>
      <c r="H83" s="61">
        <v>4.3668095269935286E-2</v>
      </c>
      <c r="I83" s="61">
        <v>6.3145390216382782E-2</v>
      </c>
      <c r="J83" s="61">
        <v>8.2622685162830278E-2</v>
      </c>
      <c r="K83" s="61">
        <v>0.10209998010927777</v>
      </c>
    </row>
    <row r="84" spans="2:11" x14ac:dyDescent="0.3">
      <c r="B84" s="35"/>
      <c r="C84" s="36"/>
      <c r="D84" s="39" t="s">
        <v>75</v>
      </c>
      <c r="E84" s="40">
        <v>2.7636938802487694E-2</v>
      </c>
      <c r="F84" s="61">
        <v>2.7194747781647891E-3</v>
      </c>
      <c r="G84" s="61">
        <v>6.8650155985379435E-3</v>
      </c>
      <c r="H84" s="61">
        <v>1.2392403359035483E-2</v>
      </c>
      <c r="I84" s="61">
        <v>1.791979111953302E-2</v>
      </c>
      <c r="J84" s="61">
        <v>2.3447178880030561E-2</v>
      </c>
      <c r="K84" s="61">
        <v>2.89745666405281E-2</v>
      </c>
    </row>
    <row r="85" spans="2:11" x14ac:dyDescent="0.3">
      <c r="B85" s="35"/>
      <c r="C85" s="36"/>
      <c r="D85" s="39" t="s">
        <v>76</v>
      </c>
      <c r="E85" s="40">
        <v>0.10008056247715963</v>
      </c>
      <c r="F85" s="61">
        <v>9.8479273477525085E-3</v>
      </c>
      <c r="G85" s="61">
        <v>2.4860011719326454E-2</v>
      </c>
      <c r="H85" s="61">
        <v>4.4876124214758381E-2</v>
      </c>
      <c r="I85" s="61">
        <v>6.4892236710190301E-2</v>
      </c>
      <c r="J85" s="61">
        <v>8.4908349205622236E-2</v>
      </c>
      <c r="K85" s="61">
        <v>0.10492446170105416</v>
      </c>
    </row>
    <row r="86" spans="2:11" x14ac:dyDescent="0.3">
      <c r="B86" s="33" t="s">
        <v>55</v>
      </c>
      <c r="C86" s="34" t="str">
        <f>C65</f>
        <v>Japan</v>
      </c>
      <c r="D86" s="39" t="s">
        <v>74</v>
      </c>
      <c r="E86" s="40">
        <v>0.18848047901598622</v>
      </c>
      <c r="F86" s="61">
        <v>1.8546479135173044E-2</v>
      </c>
      <c r="G86" s="61">
        <v>4.6818550987570977E-2</v>
      </c>
      <c r="H86" s="61">
        <v>8.4514646790768228E-2</v>
      </c>
      <c r="I86" s="61">
        <v>0.12221074259396546</v>
      </c>
      <c r="J86" s="61">
        <v>0.15990683839716271</v>
      </c>
      <c r="K86" s="61">
        <v>0.19760293420035996</v>
      </c>
    </row>
    <row r="87" spans="2:11" x14ac:dyDescent="0.3">
      <c r="B87" s="35"/>
      <c r="C87" s="36"/>
      <c r="D87" s="39" t="s">
        <v>75</v>
      </c>
      <c r="E87" s="40">
        <v>8.8268252277367606E-2</v>
      </c>
      <c r="F87" s="61">
        <v>8.6855960240929727E-3</v>
      </c>
      <c r="G87" s="61">
        <v>2.1925833865698113E-2</v>
      </c>
      <c r="H87" s="61">
        <v>3.9579484321171636E-2</v>
      </c>
      <c r="I87" s="61">
        <v>5.7233134776645156E-2</v>
      </c>
      <c r="J87" s="61">
        <v>7.4886785232118683E-2</v>
      </c>
      <c r="K87" s="61">
        <v>9.2540435687592196E-2</v>
      </c>
    </row>
    <row r="88" spans="2:11" x14ac:dyDescent="0.3">
      <c r="B88" s="35"/>
      <c r="C88" s="36"/>
      <c r="D88" s="39" t="s">
        <v>76</v>
      </c>
      <c r="E88" s="40">
        <v>0.19153678294249099</v>
      </c>
      <c r="F88" s="61">
        <v>1.8847219441541115E-2</v>
      </c>
      <c r="G88" s="61">
        <v>4.7577736882914765E-2</v>
      </c>
      <c r="H88" s="61">
        <v>8.588509347141296E-2</v>
      </c>
      <c r="I88" s="61">
        <v>0.12419245005991116</v>
      </c>
      <c r="J88" s="61">
        <v>0.16249980664840938</v>
      </c>
      <c r="K88" s="61">
        <v>0.20080716323690756</v>
      </c>
    </row>
    <row r="89" spans="2:11" x14ac:dyDescent="0.3">
      <c r="B89" s="33" t="s">
        <v>58</v>
      </c>
      <c r="C89" s="34" t="str">
        <f>C65</f>
        <v>Japan</v>
      </c>
      <c r="D89" s="39" t="s">
        <v>74</v>
      </c>
      <c r="E89" s="40">
        <v>0.48816499697106752</v>
      </c>
      <c r="F89" s="61">
        <v>4.8035435701953046E-2</v>
      </c>
      <c r="G89" s="61">
        <v>0.12126018524761317</v>
      </c>
      <c r="H89" s="61">
        <v>0.21889318464182669</v>
      </c>
      <c r="I89" s="61">
        <v>0.31652618403604016</v>
      </c>
      <c r="J89" s="61">
        <v>0.41415918343025371</v>
      </c>
      <c r="K89" s="61">
        <v>0.51179218282446715</v>
      </c>
    </row>
    <row r="90" spans="2:11" x14ac:dyDescent="0.3">
      <c r="B90" s="35"/>
      <c r="C90" s="36"/>
      <c r="D90" s="39" t="s">
        <v>75</v>
      </c>
      <c r="E90" s="40">
        <v>0.48107080783075878</v>
      </c>
      <c r="F90" s="61">
        <v>4.7337367490546664E-2</v>
      </c>
      <c r="G90" s="61">
        <v>0.11949798866516048</v>
      </c>
      <c r="H90" s="61">
        <v>0.21571215023131224</v>
      </c>
      <c r="I90" s="61">
        <v>0.311926311797464</v>
      </c>
      <c r="J90" s="61">
        <v>0.40814047336361575</v>
      </c>
      <c r="K90" s="61">
        <v>0.50435463492976751</v>
      </c>
    </row>
    <row r="91" spans="2:11" x14ac:dyDescent="0.3">
      <c r="B91" s="35"/>
      <c r="C91" s="36"/>
      <c r="D91" s="39" t="s">
        <v>76</v>
      </c>
      <c r="E91" s="40">
        <v>0.48832600219361616</v>
      </c>
      <c r="F91" s="61">
        <v>4.8051278615851831E-2</v>
      </c>
      <c r="G91" s="61">
        <v>0.12130017894489425</v>
      </c>
      <c r="H91" s="61">
        <v>0.21896537938361749</v>
      </c>
      <c r="I91" s="61">
        <v>0.31663057982234072</v>
      </c>
      <c r="J91" s="61">
        <v>0.41429578026106395</v>
      </c>
      <c r="K91" s="61">
        <v>0.51196098069978713</v>
      </c>
    </row>
    <row r="92" spans="2:11" x14ac:dyDescent="0.3">
      <c r="B92" s="33" t="s">
        <v>60</v>
      </c>
      <c r="C92" s="34" t="str">
        <f>C65</f>
        <v>Japan</v>
      </c>
      <c r="D92" s="39" t="s">
        <v>74</v>
      </c>
      <c r="E92" s="65">
        <v>1</v>
      </c>
      <c r="F92" s="61">
        <v>9.8400000000000001E-2</v>
      </c>
      <c r="G92" s="61">
        <v>0.24840000000000001</v>
      </c>
      <c r="H92" s="61">
        <v>0.44840000000000002</v>
      </c>
      <c r="I92" s="61">
        <v>0.64839999999999998</v>
      </c>
      <c r="J92" s="61">
        <v>0.84840000000000004</v>
      </c>
      <c r="K92" s="61">
        <v>1.0484</v>
      </c>
    </row>
    <row r="93" spans="2:11" x14ac:dyDescent="0.3">
      <c r="B93" s="35"/>
      <c r="C93" s="36"/>
      <c r="D93" s="39" t="s">
        <v>75</v>
      </c>
      <c r="E93" s="65">
        <v>1</v>
      </c>
      <c r="F93" s="61">
        <v>9.8400000000000001E-2</v>
      </c>
      <c r="G93" s="61">
        <v>0.24840000000000001</v>
      </c>
      <c r="H93" s="61">
        <v>0.44840000000000002</v>
      </c>
      <c r="I93" s="61">
        <v>0.64839999999999998</v>
      </c>
      <c r="J93" s="61">
        <v>0.84840000000000004</v>
      </c>
      <c r="K93" s="61">
        <v>1.0484</v>
      </c>
    </row>
    <row r="94" spans="2:11" ht="15" thickBot="1" x14ac:dyDescent="0.35">
      <c r="B94" s="43"/>
      <c r="C94" s="44"/>
      <c r="D94" s="66" t="s">
        <v>76</v>
      </c>
      <c r="E94" s="67">
        <v>1</v>
      </c>
      <c r="F94" s="68">
        <v>9.8400000000000001E-2</v>
      </c>
      <c r="G94" s="68">
        <v>0.24840000000000001</v>
      </c>
      <c r="H94" s="68">
        <v>0.44840000000000002</v>
      </c>
      <c r="I94" s="68">
        <v>0.64839999999999998</v>
      </c>
      <c r="J94" s="68">
        <v>0.84840000000000004</v>
      </c>
      <c r="K94" s="68">
        <v>1.0484</v>
      </c>
    </row>
    <row r="95" spans="2:11" x14ac:dyDescent="0.3">
      <c r="B95" s="45" t="s">
        <v>13</v>
      </c>
      <c r="C95" s="46" t="s">
        <v>95</v>
      </c>
      <c r="D95" s="69" t="s">
        <v>74</v>
      </c>
      <c r="E95" s="70">
        <v>6.6713000084358642E-4</v>
      </c>
      <c r="F95" s="71">
        <v>6.5645592083008909E-5</v>
      </c>
      <c r="G95" s="71">
        <v>1.6571509220954686E-4</v>
      </c>
      <c r="H95" s="71">
        <v>2.9914109237826416E-4</v>
      </c>
      <c r="I95" s="71">
        <v>4.3256709254698144E-4</v>
      </c>
      <c r="J95" s="71">
        <v>5.6599309271569871E-4</v>
      </c>
      <c r="K95" s="71">
        <v>6.9941909288441604E-4</v>
      </c>
    </row>
    <row r="96" spans="2:11" x14ac:dyDescent="0.3">
      <c r="B96" s="47"/>
      <c r="C96" s="48"/>
      <c r="D96" s="51" t="s">
        <v>75</v>
      </c>
      <c r="E96" s="52">
        <v>2.7561737864667704E-5</v>
      </c>
      <c r="F96" s="72">
        <v>2.7120750058833022E-6</v>
      </c>
      <c r="G96" s="72">
        <v>6.8463356855834581E-6</v>
      </c>
      <c r="H96" s="72">
        <v>1.2358683258516999E-5</v>
      </c>
      <c r="I96" s="72">
        <v>1.787103083145054E-5</v>
      </c>
      <c r="J96" s="72">
        <v>2.338337840438408E-5</v>
      </c>
      <c r="K96" s="72">
        <v>2.8895725977317619E-5</v>
      </c>
    </row>
    <row r="97" spans="2:11" x14ac:dyDescent="0.3">
      <c r="B97" s="47"/>
      <c r="C97" s="48"/>
      <c r="D97" s="51" t="s">
        <v>76</v>
      </c>
      <c r="E97" s="52">
        <v>6.6813406566798366E-4</v>
      </c>
      <c r="F97" s="72">
        <v>6.5744392061729598E-5</v>
      </c>
      <c r="G97" s="72">
        <v>1.6596450191192714E-4</v>
      </c>
      <c r="H97" s="72">
        <v>2.9959131504552389E-4</v>
      </c>
      <c r="I97" s="72">
        <v>4.3321812817912061E-4</v>
      </c>
      <c r="J97" s="72">
        <v>5.6684494131271738E-4</v>
      </c>
      <c r="K97" s="72">
        <v>7.0047175444631405E-4</v>
      </c>
    </row>
    <row r="98" spans="2:11" x14ac:dyDescent="0.3">
      <c r="B98" s="49" t="s">
        <v>19</v>
      </c>
      <c r="C98" s="50" t="str">
        <f>C95</f>
        <v>Jordan</v>
      </c>
      <c r="D98" s="51" t="s">
        <v>74</v>
      </c>
      <c r="E98" s="52">
        <v>4.7413668627456921E-3</v>
      </c>
      <c r="F98" s="72">
        <v>4.6655049929417608E-4</v>
      </c>
      <c r="G98" s="72">
        <v>1.1777555287060299E-3</v>
      </c>
      <c r="H98" s="72">
        <v>2.1260289012551684E-3</v>
      </c>
      <c r="I98" s="72">
        <v>3.0743022738043066E-3</v>
      </c>
      <c r="J98" s="72">
        <v>4.0225756463534452E-3</v>
      </c>
      <c r="K98" s="72">
        <v>4.9708490189025838E-3</v>
      </c>
    </row>
    <row r="99" spans="2:11" x14ac:dyDescent="0.3">
      <c r="B99" s="47"/>
      <c r="C99" s="47"/>
      <c r="D99" s="73" t="s">
        <v>75</v>
      </c>
      <c r="E99" s="52">
        <v>4.6200251793175059E-4</v>
      </c>
      <c r="F99" s="72">
        <v>4.546104776448426E-5</v>
      </c>
      <c r="G99" s="72">
        <v>1.1476142545424685E-4</v>
      </c>
      <c r="H99" s="72">
        <v>2.0716192904059698E-4</v>
      </c>
      <c r="I99" s="72">
        <v>2.9956243262694709E-4</v>
      </c>
      <c r="J99" s="72">
        <v>3.9196293621329719E-4</v>
      </c>
      <c r="K99" s="72">
        <v>4.843634397996473E-4</v>
      </c>
    </row>
    <row r="100" spans="2:11" x14ac:dyDescent="0.3">
      <c r="B100" s="47"/>
      <c r="C100" s="48"/>
      <c r="D100" s="51" t="s">
        <v>76</v>
      </c>
      <c r="E100" s="52">
        <v>4.7455938910373465E-3</v>
      </c>
      <c r="F100" s="72">
        <v>4.6696643887807492E-4</v>
      </c>
      <c r="G100" s="72">
        <v>1.1788055225336769E-3</v>
      </c>
      <c r="H100" s="72">
        <v>2.1279243007411462E-3</v>
      </c>
      <c r="I100" s="72">
        <v>3.0770430789486152E-3</v>
      </c>
      <c r="J100" s="72">
        <v>4.0261618571560851E-3</v>
      </c>
      <c r="K100" s="72">
        <v>4.9752806353635538E-3</v>
      </c>
    </row>
    <row r="101" spans="2:11" x14ac:dyDescent="0.3">
      <c r="B101" s="53" t="s">
        <v>24</v>
      </c>
      <c r="C101" s="54" t="str">
        <f>C95</f>
        <v>Jordan</v>
      </c>
      <c r="D101" s="51" t="s">
        <v>74</v>
      </c>
      <c r="E101" s="52">
        <v>4.8081313900433199E-3</v>
      </c>
      <c r="F101" s="72">
        <v>4.7312012878026271E-4</v>
      </c>
      <c r="G101" s="72">
        <v>1.1943398372867607E-3</v>
      </c>
      <c r="H101" s="72">
        <v>2.1559661152954247E-3</v>
      </c>
      <c r="I101" s="72">
        <v>3.1175923933040887E-3</v>
      </c>
      <c r="J101" s="72">
        <v>4.0792186713127527E-3</v>
      </c>
      <c r="K101" s="72">
        <v>5.0408449493214167E-3</v>
      </c>
    </row>
    <row r="102" spans="2:11" x14ac:dyDescent="0.3">
      <c r="B102" s="47"/>
      <c r="C102" s="48"/>
      <c r="D102" s="51" t="s">
        <v>75</v>
      </c>
      <c r="E102" s="52">
        <v>4.7140904062337505E-4</v>
      </c>
      <c r="F102" s="72">
        <v>4.6386649597340104E-5</v>
      </c>
      <c r="G102" s="72">
        <v>1.1709800569084636E-4</v>
      </c>
      <c r="H102" s="72">
        <v>2.1137981381552138E-4</v>
      </c>
      <c r="I102" s="72">
        <v>3.0566162194019638E-4</v>
      </c>
      <c r="J102" s="72">
        <v>3.999434300648714E-4</v>
      </c>
      <c r="K102" s="72">
        <v>4.9422523818954637E-4</v>
      </c>
    </row>
    <row r="103" spans="2:11" x14ac:dyDescent="0.3">
      <c r="B103" s="47"/>
      <c r="C103" s="48"/>
      <c r="D103" s="51" t="s">
        <v>76</v>
      </c>
      <c r="E103" s="52">
        <v>4.812399240434256E-3</v>
      </c>
      <c r="F103" s="72">
        <v>4.7354008525873079E-4</v>
      </c>
      <c r="G103" s="72">
        <v>1.1953999713238692E-3</v>
      </c>
      <c r="H103" s="72">
        <v>2.1578798194107204E-3</v>
      </c>
      <c r="I103" s="72">
        <v>3.1203596674975716E-3</v>
      </c>
      <c r="J103" s="72">
        <v>4.0828395155844228E-3</v>
      </c>
      <c r="K103" s="72">
        <v>5.045319363671274E-3</v>
      </c>
    </row>
    <row r="104" spans="2:11" x14ac:dyDescent="0.3">
      <c r="B104" s="53" t="s">
        <v>30</v>
      </c>
      <c r="C104" s="54" t="str">
        <f>C95</f>
        <v>Jordan</v>
      </c>
      <c r="D104" s="51" t="s">
        <v>74</v>
      </c>
      <c r="E104" s="52">
        <v>9.5091338702428998E-3</v>
      </c>
      <c r="F104" s="72">
        <v>9.3569877283190134E-4</v>
      </c>
      <c r="G104" s="72">
        <v>2.3620688533683362E-3</v>
      </c>
      <c r="H104" s="72">
        <v>4.2638956274169163E-3</v>
      </c>
      <c r="I104" s="72">
        <v>6.1657224014654956E-3</v>
      </c>
      <c r="J104" s="72">
        <v>8.0675491755140757E-3</v>
      </c>
      <c r="K104" s="72">
        <v>9.9693759495626567E-3</v>
      </c>
    </row>
    <row r="105" spans="2:11" x14ac:dyDescent="0.3">
      <c r="B105" s="47"/>
      <c r="C105" s="48"/>
      <c r="D105" s="51" t="s">
        <v>75</v>
      </c>
      <c r="E105" s="52">
        <v>1.2621733458861716E-3</v>
      </c>
      <c r="F105" s="72">
        <v>1.2419785723519929E-4</v>
      </c>
      <c r="G105" s="72">
        <v>3.1352385911812502E-4</v>
      </c>
      <c r="H105" s="72">
        <v>5.6595852829535937E-4</v>
      </c>
      <c r="I105" s="72">
        <v>8.1839319747259367E-4</v>
      </c>
      <c r="J105" s="72">
        <v>1.070827866649828E-3</v>
      </c>
      <c r="K105" s="72">
        <v>1.3232625358270624E-3</v>
      </c>
    </row>
    <row r="106" spans="2:11" x14ac:dyDescent="0.3">
      <c r="B106" s="55"/>
      <c r="C106" s="56"/>
      <c r="D106" s="51" t="s">
        <v>76</v>
      </c>
      <c r="E106" s="52">
        <v>9.5158464627761782E-3</v>
      </c>
      <c r="F106" s="72">
        <v>9.3635929193717593E-4</v>
      </c>
      <c r="G106" s="72">
        <v>2.3637362613536028E-3</v>
      </c>
      <c r="H106" s="72">
        <v>4.2669055539088386E-3</v>
      </c>
      <c r="I106" s="72">
        <v>6.1700748464640735E-3</v>
      </c>
      <c r="J106" s="72">
        <v>8.0732441390193102E-3</v>
      </c>
      <c r="K106" s="72">
        <v>9.9764134315745451E-3</v>
      </c>
    </row>
    <row r="107" spans="2:11" x14ac:dyDescent="0.3">
      <c r="B107" s="53" t="s">
        <v>46</v>
      </c>
      <c r="C107" s="54" t="str">
        <f>C95</f>
        <v>Jordan</v>
      </c>
      <c r="D107" s="51" t="s">
        <v>74</v>
      </c>
      <c r="E107" s="52">
        <v>1.939794277745957E-2</v>
      </c>
      <c r="F107" s="72">
        <v>1.9087575693020218E-3</v>
      </c>
      <c r="G107" s="72">
        <v>4.8184489859209572E-3</v>
      </c>
      <c r="H107" s="72">
        <v>8.6980375414128716E-3</v>
      </c>
      <c r="I107" s="72">
        <v>1.2577626096904784E-2</v>
      </c>
      <c r="J107" s="72">
        <v>1.64572146523967E-2</v>
      </c>
      <c r="K107" s="72">
        <v>2.0336803207888613E-2</v>
      </c>
    </row>
    <row r="108" spans="2:11" x14ac:dyDescent="0.3">
      <c r="B108" s="47"/>
      <c r="C108" s="48"/>
      <c r="D108" s="51" t="s">
        <v>75</v>
      </c>
      <c r="E108" s="52">
        <v>3.5554391205831347E-3</v>
      </c>
      <c r="F108" s="72">
        <v>3.4985520946538047E-4</v>
      </c>
      <c r="G108" s="72">
        <v>8.8317107755285073E-4</v>
      </c>
      <c r="H108" s="72">
        <v>1.5942589016694777E-3</v>
      </c>
      <c r="I108" s="72">
        <v>2.3053467257861046E-3</v>
      </c>
      <c r="J108" s="72">
        <v>3.0164345499027316E-3</v>
      </c>
      <c r="K108" s="72">
        <v>3.7275223740193585E-3</v>
      </c>
    </row>
    <row r="109" spans="2:11" x14ac:dyDescent="0.3">
      <c r="B109" s="47"/>
      <c r="C109" s="48"/>
      <c r="D109" s="51" t="s">
        <v>76</v>
      </c>
      <c r="E109" s="52">
        <v>1.9408266338769145E-2</v>
      </c>
      <c r="F109" s="72">
        <v>1.9097734077348839E-3</v>
      </c>
      <c r="G109" s="72">
        <v>4.8210133585502562E-3</v>
      </c>
      <c r="H109" s="72">
        <v>8.7026666263040845E-3</v>
      </c>
      <c r="I109" s="72">
        <v>1.2584319894057913E-2</v>
      </c>
      <c r="J109" s="72">
        <v>1.6465973161811743E-2</v>
      </c>
      <c r="K109" s="72">
        <v>2.0347626429565571E-2</v>
      </c>
    </row>
    <row r="110" spans="2:11" x14ac:dyDescent="0.3">
      <c r="B110" s="53" t="s">
        <v>50</v>
      </c>
      <c r="C110" s="54" t="str">
        <f>C95</f>
        <v>Jordan</v>
      </c>
      <c r="D110" s="51" t="s">
        <v>74</v>
      </c>
      <c r="E110" s="52">
        <v>4.018004613431686E-2</v>
      </c>
      <c r="F110" s="72">
        <v>3.9537165396167787E-3</v>
      </c>
      <c r="G110" s="72">
        <v>9.9807234597643086E-3</v>
      </c>
      <c r="H110" s="72">
        <v>1.8016732686627682E-2</v>
      </c>
      <c r="I110" s="72">
        <v>2.6052741913491051E-2</v>
      </c>
      <c r="J110" s="72">
        <v>3.4088751140354423E-2</v>
      </c>
      <c r="K110" s="72">
        <v>4.2124760367217795E-2</v>
      </c>
    </row>
    <row r="111" spans="2:11" x14ac:dyDescent="0.3">
      <c r="B111" s="47"/>
      <c r="C111" s="48"/>
      <c r="D111" s="51" t="s">
        <v>75</v>
      </c>
      <c r="E111" s="52">
        <v>1.0361390992854231E-2</v>
      </c>
      <c r="F111" s="72">
        <v>1.0195608736968563E-3</v>
      </c>
      <c r="G111" s="72">
        <v>2.5737695226249911E-3</v>
      </c>
      <c r="H111" s="72">
        <v>4.6460477211958378E-3</v>
      </c>
      <c r="I111" s="72">
        <v>6.7183259197666828E-3</v>
      </c>
      <c r="J111" s="72">
        <v>8.7906041183375295E-3</v>
      </c>
      <c r="K111" s="72">
        <v>1.0862882316908375E-2</v>
      </c>
    </row>
    <row r="112" spans="2:11" x14ac:dyDescent="0.3">
      <c r="B112" s="47"/>
      <c r="C112" s="48"/>
      <c r="D112" s="51" t="s">
        <v>76</v>
      </c>
      <c r="E112" s="52">
        <v>4.0194982972054524E-2</v>
      </c>
      <c r="F112" s="72">
        <v>3.9551863244501649E-3</v>
      </c>
      <c r="G112" s="72">
        <v>9.9844337702583441E-3</v>
      </c>
      <c r="H112" s="72">
        <v>1.802343036466925E-2</v>
      </c>
      <c r="I112" s="72">
        <v>2.6062426959080152E-2</v>
      </c>
      <c r="J112" s="72">
        <v>3.4101423553491057E-2</v>
      </c>
      <c r="K112" s="72">
        <v>4.2140420147901966E-2</v>
      </c>
    </row>
    <row r="113" spans="2:11" x14ac:dyDescent="0.3">
      <c r="B113" s="53" t="s">
        <v>53</v>
      </c>
      <c r="C113" s="54" t="str">
        <f>C95</f>
        <v>Jordan</v>
      </c>
      <c r="D113" s="51" t="s">
        <v>74</v>
      </c>
      <c r="E113" s="52">
        <v>6.8727898757454137E-2</v>
      </c>
      <c r="F113" s="72">
        <v>6.7628252377334875E-3</v>
      </c>
      <c r="G113" s="72">
        <v>1.7072010051351609E-2</v>
      </c>
      <c r="H113" s="72">
        <v>3.0817589802842438E-2</v>
      </c>
      <c r="I113" s="72">
        <v>4.456316955433326E-2</v>
      </c>
      <c r="J113" s="72">
        <v>5.8308749305824095E-2</v>
      </c>
      <c r="K113" s="72">
        <v>7.2054329057314917E-2</v>
      </c>
    </row>
    <row r="114" spans="2:11" x14ac:dyDescent="0.3">
      <c r="B114" s="47"/>
      <c r="C114" s="48"/>
      <c r="D114" s="51" t="s">
        <v>75</v>
      </c>
      <c r="E114" s="52">
        <v>2.3091068974024662E-2</v>
      </c>
      <c r="F114" s="72">
        <v>2.2721611870440269E-3</v>
      </c>
      <c r="G114" s="72">
        <v>5.7358215331477259E-3</v>
      </c>
      <c r="H114" s="72">
        <v>1.0354035327952659E-2</v>
      </c>
      <c r="I114" s="72">
        <v>1.4972249122757591E-2</v>
      </c>
      <c r="J114" s="72">
        <v>1.9590462917562525E-2</v>
      </c>
      <c r="K114" s="72">
        <v>2.4208676712367455E-2</v>
      </c>
    </row>
    <row r="115" spans="2:11" x14ac:dyDescent="0.3">
      <c r="B115" s="47"/>
      <c r="C115" s="48"/>
      <c r="D115" s="51" t="s">
        <v>76</v>
      </c>
      <c r="E115" s="52">
        <v>6.8746124473503853E-2</v>
      </c>
      <c r="F115" s="72">
        <v>6.764618648192779E-3</v>
      </c>
      <c r="G115" s="72">
        <v>1.7076537319218359E-2</v>
      </c>
      <c r="H115" s="72">
        <v>3.0825762213919129E-2</v>
      </c>
      <c r="I115" s="72">
        <v>4.4574987108619894E-2</v>
      </c>
      <c r="J115" s="72">
        <v>5.832421200332067E-2</v>
      </c>
      <c r="K115" s="72">
        <v>7.207343689802144E-2</v>
      </c>
    </row>
    <row r="116" spans="2:11" x14ac:dyDescent="0.3">
      <c r="B116" s="53" t="s">
        <v>55</v>
      </c>
      <c r="C116" s="54" t="str">
        <f>C95</f>
        <v>Jordan</v>
      </c>
      <c r="D116" s="51" t="s">
        <v>74</v>
      </c>
      <c r="E116" s="74">
        <v>0.15328649955558393</v>
      </c>
      <c r="F116" s="72">
        <v>1.5083391556269459E-2</v>
      </c>
      <c r="G116" s="72">
        <v>3.807636648960705E-2</v>
      </c>
      <c r="H116" s="72">
        <v>6.8733666400723842E-2</v>
      </c>
      <c r="I116" s="72">
        <v>9.939096631184062E-2</v>
      </c>
      <c r="J116" s="72">
        <v>0.13004826622295743</v>
      </c>
      <c r="K116" s="72">
        <v>0.16070556613407419</v>
      </c>
    </row>
    <row r="117" spans="2:11" x14ac:dyDescent="0.3">
      <c r="B117" s="47"/>
      <c r="C117" s="48"/>
      <c r="D117" s="51" t="s">
        <v>75</v>
      </c>
      <c r="E117" s="74">
        <v>7.9002065544052119E-2</v>
      </c>
      <c r="F117" s="72">
        <v>7.773803249534729E-3</v>
      </c>
      <c r="G117" s="72">
        <v>1.9624113081142546E-2</v>
      </c>
      <c r="H117" s="72">
        <v>3.5424526189952975E-2</v>
      </c>
      <c r="I117" s="72">
        <v>5.1224939298763393E-2</v>
      </c>
      <c r="J117" s="72">
        <v>6.7025352407573818E-2</v>
      </c>
      <c r="K117" s="72">
        <v>8.2825765516384237E-2</v>
      </c>
    </row>
    <row r="118" spans="2:11" x14ac:dyDescent="0.3">
      <c r="B118" s="47"/>
      <c r="C118" s="48"/>
      <c r="D118" s="51" t="s">
        <v>76</v>
      </c>
      <c r="E118" s="74">
        <v>0.15330623845430408</v>
      </c>
      <c r="F118" s="72">
        <v>1.5085333863903521E-2</v>
      </c>
      <c r="G118" s="72">
        <v>3.8081269632049136E-2</v>
      </c>
      <c r="H118" s="72">
        <v>6.8742517322909952E-2</v>
      </c>
      <c r="I118" s="72">
        <v>9.9403765013770767E-2</v>
      </c>
      <c r="J118" s="72">
        <v>0.13006501270463158</v>
      </c>
      <c r="K118" s="72">
        <v>0.1607262603954924</v>
      </c>
    </row>
    <row r="119" spans="2:11" x14ac:dyDescent="0.3">
      <c r="B119" s="53" t="s">
        <v>58</v>
      </c>
      <c r="C119" s="54" t="str">
        <f>C95</f>
        <v>Jordan</v>
      </c>
      <c r="D119" s="51" t="s">
        <v>74</v>
      </c>
      <c r="E119" s="74">
        <v>0.48614483184039081</v>
      </c>
      <c r="F119" s="72">
        <v>4.7836651453094459E-2</v>
      </c>
      <c r="G119" s="72">
        <v>0.12075837622915309</v>
      </c>
      <c r="H119" s="72">
        <v>0.21798734259723124</v>
      </c>
      <c r="I119" s="72">
        <v>0.31521630896530939</v>
      </c>
      <c r="J119" s="72">
        <v>0.4124452753333876</v>
      </c>
      <c r="K119" s="72">
        <v>0.50967424170146569</v>
      </c>
    </row>
    <row r="120" spans="2:11" x14ac:dyDescent="0.3">
      <c r="B120" s="47"/>
      <c r="C120" s="48"/>
      <c r="D120" s="51" t="s">
        <v>75</v>
      </c>
      <c r="E120" s="74">
        <v>0.48008915882132347</v>
      </c>
      <c r="F120" s="72">
        <v>4.7240773228018229E-2</v>
      </c>
      <c r="G120" s="72">
        <v>0.11925414705121676</v>
      </c>
      <c r="H120" s="72">
        <v>0.21527197881548146</v>
      </c>
      <c r="I120" s="72">
        <v>0.31128981057974614</v>
      </c>
      <c r="J120" s="72">
        <v>0.40730764234401085</v>
      </c>
      <c r="K120" s="72">
        <v>0.50332547410827555</v>
      </c>
    </row>
    <row r="121" spans="2:11" x14ac:dyDescent="0.3">
      <c r="B121" s="47"/>
      <c r="C121" s="48"/>
      <c r="D121" s="51" t="s">
        <v>76</v>
      </c>
      <c r="E121" s="74">
        <v>0.48614575207757554</v>
      </c>
      <c r="F121" s="72">
        <v>4.7836742004433434E-2</v>
      </c>
      <c r="G121" s="72">
        <v>0.12075860481606977</v>
      </c>
      <c r="H121" s="72">
        <v>0.2179877552315849</v>
      </c>
      <c r="I121" s="72">
        <v>0.31521690564709998</v>
      </c>
      <c r="J121" s="72">
        <v>0.41244605606261509</v>
      </c>
      <c r="K121" s="72">
        <v>0.50967520647813025</v>
      </c>
    </row>
    <row r="122" spans="2:11" x14ac:dyDescent="0.3">
      <c r="B122" s="53" t="s">
        <v>60</v>
      </c>
      <c r="C122" s="54" t="str">
        <f>C95</f>
        <v>Jordan</v>
      </c>
      <c r="D122" s="51" t="s">
        <v>74</v>
      </c>
      <c r="E122" s="75">
        <v>1</v>
      </c>
      <c r="F122" s="72">
        <v>9.8400000000000001E-2</v>
      </c>
      <c r="G122" s="72">
        <v>0.24840000000000001</v>
      </c>
      <c r="H122" s="72">
        <v>0.44840000000000002</v>
      </c>
      <c r="I122" s="72">
        <v>0.64839999999999998</v>
      </c>
      <c r="J122" s="72">
        <v>0.84840000000000004</v>
      </c>
      <c r="K122" s="72">
        <v>1.0484</v>
      </c>
    </row>
    <row r="123" spans="2:11" x14ac:dyDescent="0.3">
      <c r="B123" s="47"/>
      <c r="C123" s="48"/>
      <c r="D123" s="51" t="s">
        <v>75</v>
      </c>
      <c r="E123" s="75">
        <v>1</v>
      </c>
      <c r="F123" s="72">
        <v>9.8400000000000001E-2</v>
      </c>
      <c r="G123" s="72">
        <v>0.24840000000000001</v>
      </c>
      <c r="H123" s="72">
        <v>0.44840000000000002</v>
      </c>
      <c r="I123" s="72">
        <v>0.64839999999999998</v>
      </c>
      <c r="J123" s="72">
        <v>0.84840000000000004</v>
      </c>
      <c r="K123" s="72">
        <v>1.0484</v>
      </c>
    </row>
    <row r="124" spans="2:11" ht="15" thickBot="1" x14ac:dyDescent="0.35">
      <c r="B124" s="57"/>
      <c r="C124" s="58"/>
      <c r="D124" s="76" t="s">
        <v>76</v>
      </c>
      <c r="E124" s="77">
        <v>1</v>
      </c>
      <c r="F124" s="78">
        <v>9.8400000000000001E-2</v>
      </c>
      <c r="G124" s="78">
        <v>0.24840000000000001</v>
      </c>
      <c r="H124" s="78">
        <v>0.44840000000000002</v>
      </c>
      <c r="I124" s="78">
        <v>0.64839999999999998</v>
      </c>
      <c r="J124" s="78">
        <v>0.84840000000000004</v>
      </c>
      <c r="K124" s="78">
        <v>1.0484</v>
      </c>
    </row>
    <row r="125" spans="2:11" x14ac:dyDescent="0.3">
      <c r="B125" s="33" t="s">
        <v>13</v>
      </c>
      <c r="C125" s="34" t="s">
        <v>96</v>
      </c>
      <c r="D125" s="39" t="s">
        <v>74</v>
      </c>
      <c r="E125" s="63">
        <v>8.1095838661936616E-4</v>
      </c>
      <c r="F125" s="61">
        <v>7.9798305243345625E-5</v>
      </c>
      <c r="G125" s="61">
        <v>2.0144206323625057E-4</v>
      </c>
      <c r="H125" s="61">
        <v>3.6363374056012378E-4</v>
      </c>
      <c r="I125" s="61">
        <v>5.2582541788399699E-4</v>
      </c>
      <c r="J125" s="61">
        <v>6.8801709520787031E-4</v>
      </c>
      <c r="K125" s="61">
        <v>8.5020877253174352E-4</v>
      </c>
    </row>
    <row r="126" spans="2:11" x14ac:dyDescent="0.3">
      <c r="B126" s="35"/>
      <c r="C126" s="36"/>
      <c r="D126" s="39" t="s">
        <v>75</v>
      </c>
      <c r="E126" s="63">
        <v>2.8426757573315808E-5</v>
      </c>
      <c r="F126" s="61">
        <v>2.7971929452142754E-6</v>
      </c>
      <c r="G126" s="61">
        <v>7.0612065812116467E-6</v>
      </c>
      <c r="H126" s="61">
        <v>1.2746558095874808E-5</v>
      </c>
      <c r="I126" s="61">
        <v>1.8431909610537971E-5</v>
      </c>
      <c r="J126" s="61">
        <v>2.4117261125201133E-5</v>
      </c>
      <c r="K126" s="61">
        <v>2.9802612639864292E-5</v>
      </c>
    </row>
    <row r="127" spans="2:11" x14ac:dyDescent="0.3">
      <c r="B127" s="35"/>
      <c r="C127" s="36"/>
      <c r="D127" s="39" t="s">
        <v>76</v>
      </c>
      <c r="E127" s="63">
        <v>8.1011554021242897E-4</v>
      </c>
      <c r="F127" s="61">
        <v>7.9715369156903009E-5</v>
      </c>
      <c r="G127" s="61">
        <v>2.0123270018876737E-4</v>
      </c>
      <c r="H127" s="61">
        <v>3.6325580823125318E-4</v>
      </c>
      <c r="I127" s="61">
        <v>5.2527891627373896E-4</v>
      </c>
      <c r="J127" s="61">
        <v>6.873020243162248E-4</v>
      </c>
      <c r="K127" s="61">
        <v>8.4932513235871053E-4</v>
      </c>
    </row>
    <row r="128" spans="2:11" x14ac:dyDescent="0.3">
      <c r="B128" s="37" t="s">
        <v>19</v>
      </c>
      <c r="C128" s="38" t="str">
        <f>C125</f>
        <v>Kazakhstan</v>
      </c>
      <c r="D128" s="39" t="s">
        <v>74</v>
      </c>
      <c r="E128" s="40">
        <v>5.4649416626883201E-3</v>
      </c>
      <c r="F128" s="61">
        <v>5.3775025960853067E-4</v>
      </c>
      <c r="G128" s="61">
        <v>1.3574915090117789E-3</v>
      </c>
      <c r="H128" s="61">
        <v>2.4504798415494427E-3</v>
      </c>
      <c r="I128" s="61">
        <v>3.5434681740871064E-3</v>
      </c>
      <c r="J128" s="61">
        <v>4.6364565066247714E-3</v>
      </c>
      <c r="K128" s="61">
        <v>5.7294448391624351E-3</v>
      </c>
    </row>
    <row r="129" spans="2:11" x14ac:dyDescent="0.3">
      <c r="B129" s="35"/>
      <c r="C129" s="35"/>
      <c r="D129" s="64" t="s">
        <v>75</v>
      </c>
      <c r="E129" s="40">
        <v>4.7264535603149042E-4</v>
      </c>
      <c r="F129" s="61">
        <v>4.650830303349866E-5</v>
      </c>
      <c r="G129" s="61">
        <v>1.1740510643822223E-4</v>
      </c>
      <c r="H129" s="61">
        <v>2.1193417764452032E-4</v>
      </c>
      <c r="I129" s="61">
        <v>3.0646324885081835E-4</v>
      </c>
      <c r="J129" s="61">
        <v>4.0099232005711647E-4</v>
      </c>
      <c r="K129" s="61">
        <v>4.9552139126341453E-4</v>
      </c>
    </row>
    <row r="130" spans="2:11" x14ac:dyDescent="0.3">
      <c r="B130" s="35"/>
      <c r="C130" s="36"/>
      <c r="D130" s="39" t="s">
        <v>76</v>
      </c>
      <c r="E130" s="40">
        <v>5.4604746285163144E-3</v>
      </c>
      <c r="F130" s="61">
        <v>5.3731070344600537E-4</v>
      </c>
      <c r="G130" s="61">
        <v>1.3563818977234525E-3</v>
      </c>
      <c r="H130" s="61">
        <v>2.4484768234267155E-3</v>
      </c>
      <c r="I130" s="61">
        <v>3.5405717491299783E-3</v>
      </c>
      <c r="J130" s="61">
        <v>4.6326666748332411E-3</v>
      </c>
      <c r="K130" s="61">
        <v>5.7247616005365043E-3</v>
      </c>
    </row>
    <row r="131" spans="2:11" x14ac:dyDescent="0.3">
      <c r="B131" s="33" t="s">
        <v>24</v>
      </c>
      <c r="C131" s="34" t="str">
        <f>C125</f>
        <v>Kazakhstan</v>
      </c>
      <c r="D131" s="39" t="s">
        <v>74</v>
      </c>
      <c r="E131" s="40">
        <v>5.539766538187791E-3</v>
      </c>
      <c r="F131" s="61">
        <v>5.4511302735767869E-4</v>
      </c>
      <c r="G131" s="61">
        <v>1.3760780080858473E-3</v>
      </c>
      <c r="H131" s="61">
        <v>2.4840313157234056E-3</v>
      </c>
      <c r="I131" s="61">
        <v>3.5919846233609634E-3</v>
      </c>
      <c r="J131" s="61">
        <v>4.6999379309985217E-3</v>
      </c>
      <c r="K131" s="61">
        <v>5.8078912386360804E-3</v>
      </c>
    </row>
    <row r="132" spans="2:11" x14ac:dyDescent="0.3">
      <c r="B132" s="35"/>
      <c r="C132" s="36"/>
      <c r="D132" s="39" t="s">
        <v>75</v>
      </c>
      <c r="E132" s="40">
        <v>4.8224025034023063E-4</v>
      </c>
      <c r="F132" s="61">
        <v>4.7452440633478692E-5</v>
      </c>
      <c r="G132" s="61">
        <v>1.1978847818451329E-4</v>
      </c>
      <c r="H132" s="61">
        <v>2.1623652825255942E-4</v>
      </c>
      <c r="I132" s="61">
        <v>3.1268457832060552E-4</v>
      </c>
      <c r="J132" s="61">
        <v>4.091326283886517E-4</v>
      </c>
      <c r="K132" s="61">
        <v>5.0558067845669777E-4</v>
      </c>
    </row>
    <row r="133" spans="2:11" x14ac:dyDescent="0.3">
      <c r="B133" s="35"/>
      <c r="C133" s="36"/>
      <c r="D133" s="39" t="s">
        <v>76</v>
      </c>
      <c r="E133" s="40">
        <v>5.5352480780979704E-3</v>
      </c>
      <c r="F133" s="61">
        <v>5.4466841088484025E-4</v>
      </c>
      <c r="G133" s="61">
        <v>1.3749556225995359E-3</v>
      </c>
      <c r="H133" s="61">
        <v>2.48200523821913E-3</v>
      </c>
      <c r="I133" s="61">
        <v>3.5890548538387241E-3</v>
      </c>
      <c r="J133" s="61">
        <v>4.6961044694583181E-3</v>
      </c>
      <c r="K133" s="61">
        <v>5.8031540850779122E-3</v>
      </c>
    </row>
    <row r="134" spans="2:11" x14ac:dyDescent="0.3">
      <c r="B134" s="33" t="s">
        <v>30</v>
      </c>
      <c r="C134" s="34" t="str">
        <f>C125</f>
        <v>Kazakhstan</v>
      </c>
      <c r="D134" s="39" t="s">
        <v>74</v>
      </c>
      <c r="E134" s="40">
        <v>1.07510697216776E-2</v>
      </c>
      <c r="F134" s="61">
        <v>1.0579052606130759E-3</v>
      </c>
      <c r="G134" s="61">
        <v>2.6705657188647158E-3</v>
      </c>
      <c r="H134" s="61">
        <v>4.8207796632002359E-3</v>
      </c>
      <c r="I134" s="61">
        <v>6.9709936075357552E-3</v>
      </c>
      <c r="J134" s="61">
        <v>9.1212075518712753E-3</v>
      </c>
      <c r="K134" s="61">
        <v>1.1271421496206796E-2</v>
      </c>
    </row>
    <row r="135" spans="2:11" x14ac:dyDescent="0.3">
      <c r="B135" s="35"/>
      <c r="C135" s="36"/>
      <c r="D135" s="39" t="s">
        <v>75</v>
      </c>
      <c r="E135" s="40">
        <v>1.2874551081351628E-3</v>
      </c>
      <c r="F135" s="61">
        <v>1.2668558264050003E-4</v>
      </c>
      <c r="G135" s="61">
        <v>3.1980384886077444E-4</v>
      </c>
      <c r="H135" s="61">
        <v>5.7729487048780706E-4</v>
      </c>
      <c r="I135" s="61">
        <v>8.3478589211483946E-4</v>
      </c>
      <c r="J135" s="61">
        <v>1.0922769137418722E-3</v>
      </c>
      <c r="K135" s="61">
        <v>1.3497679353689047E-3</v>
      </c>
    </row>
    <row r="136" spans="2:11" x14ac:dyDescent="0.3">
      <c r="B136" s="41"/>
      <c r="C136" s="42"/>
      <c r="D136" s="39" t="s">
        <v>76</v>
      </c>
      <c r="E136" s="40">
        <v>1.0743260165622492E-2</v>
      </c>
      <c r="F136" s="61">
        <v>1.0571368002972534E-3</v>
      </c>
      <c r="G136" s="61">
        <v>2.6686258251406273E-3</v>
      </c>
      <c r="H136" s="61">
        <v>4.8172778582651257E-3</v>
      </c>
      <c r="I136" s="61">
        <v>6.9659298913896236E-3</v>
      </c>
      <c r="J136" s="61">
        <v>9.1145819245141233E-3</v>
      </c>
      <c r="K136" s="61">
        <v>1.126323395763862E-2</v>
      </c>
    </row>
    <row r="137" spans="2:11" x14ac:dyDescent="0.3">
      <c r="B137" s="33" t="s">
        <v>46</v>
      </c>
      <c r="C137" s="34" t="str">
        <f>C125</f>
        <v>Kazakhstan</v>
      </c>
      <c r="D137" s="39" t="s">
        <v>74</v>
      </c>
      <c r="E137" s="40">
        <v>2.1492474965006308E-2</v>
      </c>
      <c r="F137" s="61">
        <v>2.1148595365566209E-3</v>
      </c>
      <c r="G137" s="61">
        <v>5.3387307813075671E-3</v>
      </c>
      <c r="H137" s="61">
        <v>9.6372257743088299E-3</v>
      </c>
      <c r="I137" s="61">
        <v>1.3935720767310089E-2</v>
      </c>
      <c r="J137" s="61">
        <v>1.8234215760311354E-2</v>
      </c>
      <c r="K137" s="61">
        <v>2.2532710753312615E-2</v>
      </c>
    </row>
    <row r="138" spans="2:11" x14ac:dyDescent="0.3">
      <c r="B138" s="35"/>
      <c r="C138" s="36"/>
      <c r="D138" s="39" t="s">
        <v>75</v>
      </c>
      <c r="E138" s="40">
        <v>3.6155246855119815E-3</v>
      </c>
      <c r="F138" s="61">
        <v>3.55767629054379E-4</v>
      </c>
      <c r="G138" s="61">
        <v>8.9809633188117622E-4</v>
      </c>
      <c r="H138" s="61">
        <v>1.6212012689835727E-3</v>
      </c>
      <c r="I138" s="61">
        <v>2.3443062060859686E-3</v>
      </c>
      <c r="J138" s="61">
        <v>3.0674111431883652E-3</v>
      </c>
      <c r="K138" s="61">
        <v>3.7905160802907613E-3</v>
      </c>
    </row>
    <row r="139" spans="2:11" x14ac:dyDescent="0.3">
      <c r="B139" s="35"/>
      <c r="C139" s="36"/>
      <c r="D139" s="39" t="s">
        <v>76</v>
      </c>
      <c r="E139" s="40">
        <v>2.147904930782308E-2</v>
      </c>
      <c r="F139" s="61">
        <v>2.1135384518897911E-3</v>
      </c>
      <c r="G139" s="61">
        <v>5.335395848063253E-3</v>
      </c>
      <c r="H139" s="61">
        <v>9.6312057096278689E-3</v>
      </c>
      <c r="I139" s="61">
        <v>1.3927015571192485E-2</v>
      </c>
      <c r="J139" s="61">
        <v>1.8222825432757103E-2</v>
      </c>
      <c r="K139" s="61">
        <v>2.2518635294321715E-2</v>
      </c>
    </row>
    <row r="140" spans="2:11" x14ac:dyDescent="0.3">
      <c r="B140" s="33" t="s">
        <v>50</v>
      </c>
      <c r="C140" s="34" t="str">
        <f>C125</f>
        <v>Kazakhstan</v>
      </c>
      <c r="D140" s="39" t="s">
        <v>74</v>
      </c>
      <c r="E140" s="40">
        <v>4.3574329369421586E-2</v>
      </c>
      <c r="F140" s="61">
        <v>4.287714009951084E-3</v>
      </c>
      <c r="G140" s="61">
        <v>1.0823863415364322E-2</v>
      </c>
      <c r="H140" s="61">
        <v>1.953872928924864E-2</v>
      </c>
      <c r="I140" s="61">
        <v>2.8253595163132954E-2</v>
      </c>
      <c r="J140" s="61">
        <v>3.6968461037017272E-2</v>
      </c>
      <c r="K140" s="61">
        <v>4.5683326910901594E-2</v>
      </c>
    </row>
    <row r="141" spans="2:11" x14ac:dyDescent="0.3">
      <c r="B141" s="35"/>
      <c r="C141" s="36"/>
      <c r="D141" s="39" t="s">
        <v>75</v>
      </c>
      <c r="E141" s="40">
        <v>1.0502282239178432E-2</v>
      </c>
      <c r="F141" s="61">
        <v>1.0334245723351578E-3</v>
      </c>
      <c r="G141" s="61">
        <v>2.6087669082119225E-3</v>
      </c>
      <c r="H141" s="61">
        <v>4.7092233560476092E-3</v>
      </c>
      <c r="I141" s="61">
        <v>6.8096798038832949E-3</v>
      </c>
      <c r="J141" s="61">
        <v>8.9101362517189815E-3</v>
      </c>
      <c r="K141" s="61">
        <v>1.1010592699554669E-2</v>
      </c>
    </row>
    <row r="142" spans="2:11" x14ac:dyDescent="0.3">
      <c r="B142" s="35"/>
      <c r="C142" s="36"/>
      <c r="D142" s="39" t="s">
        <v>76</v>
      </c>
      <c r="E142" s="40">
        <v>4.3552127757904194E-2</v>
      </c>
      <c r="F142" s="61">
        <v>4.2855293713777729E-3</v>
      </c>
      <c r="G142" s="61">
        <v>1.0818348535063402E-2</v>
      </c>
      <c r="H142" s="61">
        <v>1.9528774086644243E-2</v>
      </c>
      <c r="I142" s="61">
        <v>2.8239199638225077E-2</v>
      </c>
      <c r="J142" s="61">
        <v>3.6949625189805921E-2</v>
      </c>
      <c r="K142" s="61">
        <v>4.5660050741386758E-2</v>
      </c>
    </row>
    <row r="143" spans="2:11" x14ac:dyDescent="0.3">
      <c r="B143" s="33" t="s">
        <v>53</v>
      </c>
      <c r="C143" s="34" t="str">
        <f>C125</f>
        <v>Kazakhstan</v>
      </c>
      <c r="D143" s="39" t="s">
        <v>74</v>
      </c>
      <c r="E143" s="40">
        <v>7.3311633323776187E-2</v>
      </c>
      <c r="F143" s="61">
        <v>7.213864719059577E-3</v>
      </c>
      <c r="G143" s="61">
        <v>1.8210609717626006E-2</v>
      </c>
      <c r="H143" s="61">
        <v>3.2872936382381243E-2</v>
      </c>
      <c r="I143" s="61">
        <v>4.7535263047136476E-2</v>
      </c>
      <c r="J143" s="61">
        <v>6.2197589711891724E-2</v>
      </c>
      <c r="K143" s="61">
        <v>7.685991637664695E-2</v>
      </c>
    </row>
    <row r="144" spans="2:11" x14ac:dyDescent="0.3">
      <c r="B144" s="35"/>
      <c r="C144" s="36"/>
      <c r="D144" s="39" t="s">
        <v>75</v>
      </c>
      <c r="E144" s="40">
        <v>2.3345937616995688E-2</v>
      </c>
      <c r="F144" s="61">
        <v>2.2972402615123759E-3</v>
      </c>
      <c r="G144" s="61">
        <v>5.7991309040617287E-3</v>
      </c>
      <c r="H144" s="61">
        <v>1.0468318427460866E-2</v>
      </c>
      <c r="I144" s="61">
        <v>1.5137505950860003E-2</v>
      </c>
      <c r="J144" s="61">
        <v>1.9806693474259143E-2</v>
      </c>
      <c r="K144" s="61">
        <v>2.4475880997658277E-2</v>
      </c>
    </row>
    <row r="145" spans="2:11" x14ac:dyDescent="0.3">
      <c r="B145" s="35"/>
      <c r="C145" s="36"/>
      <c r="D145" s="39" t="s">
        <v>76</v>
      </c>
      <c r="E145" s="40">
        <v>7.3281182893466773E-2</v>
      </c>
      <c r="F145" s="61">
        <v>7.210868396717131E-3</v>
      </c>
      <c r="G145" s="61">
        <v>1.8203045830737147E-2</v>
      </c>
      <c r="H145" s="61">
        <v>3.28592824094305E-2</v>
      </c>
      <c r="I145" s="61">
        <v>4.7515518988123853E-2</v>
      </c>
      <c r="J145" s="61">
        <v>6.2171755566817213E-2</v>
      </c>
      <c r="K145" s="61">
        <v>7.682799214551056E-2</v>
      </c>
    </row>
    <row r="146" spans="2:11" x14ac:dyDescent="0.3">
      <c r="B146" s="33" t="s">
        <v>55</v>
      </c>
      <c r="C146" s="34" t="str">
        <f>C125</f>
        <v>Kazakhstan</v>
      </c>
      <c r="D146" s="39" t="s">
        <v>74</v>
      </c>
      <c r="E146" s="40">
        <v>0.15929280996069745</v>
      </c>
      <c r="F146" s="61">
        <v>1.5674412500132628E-2</v>
      </c>
      <c r="G146" s="61">
        <v>3.9568333994237245E-2</v>
      </c>
      <c r="H146" s="61">
        <v>7.1426895986376734E-2</v>
      </c>
      <c r="I146" s="61">
        <v>0.10328545797851622</v>
      </c>
      <c r="J146" s="61">
        <v>0.13514401997065573</v>
      </c>
      <c r="K146" s="61">
        <v>0.16700258196279522</v>
      </c>
    </row>
    <row r="147" spans="2:11" x14ac:dyDescent="0.3">
      <c r="B147" s="35"/>
      <c r="C147" s="36"/>
      <c r="D147" s="39" t="s">
        <v>75</v>
      </c>
      <c r="E147" s="40">
        <v>7.9542197781945129E-2</v>
      </c>
      <c r="F147" s="61">
        <v>7.8269522617434011E-3</v>
      </c>
      <c r="G147" s="61">
        <v>1.9758281929035171E-2</v>
      </c>
      <c r="H147" s="61">
        <v>3.5666721485424199E-2</v>
      </c>
      <c r="I147" s="61">
        <v>5.1575161041813221E-2</v>
      </c>
      <c r="J147" s="61">
        <v>6.7483600598202256E-2</v>
      </c>
      <c r="K147" s="61">
        <v>8.3392040154591271E-2</v>
      </c>
    </row>
    <row r="148" spans="2:11" x14ac:dyDescent="0.3">
      <c r="B148" s="35"/>
      <c r="C148" s="36"/>
      <c r="D148" s="39" t="s">
        <v>76</v>
      </c>
      <c r="E148" s="40">
        <v>0.15925194580585869</v>
      </c>
      <c r="F148" s="61">
        <v>1.5670391467296495E-2</v>
      </c>
      <c r="G148" s="61">
        <v>3.9558183338175297E-2</v>
      </c>
      <c r="H148" s="61">
        <v>7.1408572499347039E-2</v>
      </c>
      <c r="I148" s="61">
        <v>0.10325896166051877</v>
      </c>
      <c r="J148" s="61">
        <v>0.13510935082169051</v>
      </c>
      <c r="K148" s="61">
        <v>0.16695973998286226</v>
      </c>
    </row>
    <row r="149" spans="2:11" x14ac:dyDescent="0.3">
      <c r="B149" s="33" t="s">
        <v>58</v>
      </c>
      <c r="C149" s="34" t="str">
        <f>C125</f>
        <v>Kazakhstan</v>
      </c>
      <c r="D149" s="39" t="s">
        <v>74</v>
      </c>
      <c r="E149" s="40">
        <v>0.48651387606626884</v>
      </c>
      <c r="F149" s="61">
        <v>4.7872965404920857E-2</v>
      </c>
      <c r="G149" s="61">
        <v>0.12085004681486118</v>
      </c>
      <c r="H149" s="61">
        <v>0.21815282202811495</v>
      </c>
      <c r="I149" s="61">
        <v>0.31545559724136868</v>
      </c>
      <c r="J149" s="61">
        <v>0.41275837245462249</v>
      </c>
      <c r="K149" s="61">
        <v>0.51006114766787625</v>
      </c>
    </row>
    <row r="150" spans="2:11" x14ac:dyDescent="0.3">
      <c r="B150" s="35"/>
      <c r="C150" s="36"/>
      <c r="D150" s="39" t="s">
        <v>75</v>
      </c>
      <c r="E150" s="40">
        <v>0.48014945009525423</v>
      </c>
      <c r="F150" s="61">
        <v>4.724670588937302E-2</v>
      </c>
      <c r="G150" s="61">
        <v>0.11926912340366115</v>
      </c>
      <c r="H150" s="61">
        <v>0.21529901342271202</v>
      </c>
      <c r="I150" s="61">
        <v>0.31132890344176284</v>
      </c>
      <c r="J150" s="61">
        <v>0.40735879346081372</v>
      </c>
      <c r="K150" s="61">
        <v>0.50338868347986454</v>
      </c>
    </row>
    <row r="151" spans="2:11" x14ac:dyDescent="0.3">
      <c r="B151" s="35"/>
      <c r="C151" s="36"/>
      <c r="D151" s="39" t="s">
        <v>76</v>
      </c>
      <c r="E151" s="40">
        <v>0.4865113005664739</v>
      </c>
      <c r="F151" s="61">
        <v>4.7872711975741035E-2</v>
      </c>
      <c r="G151" s="61">
        <v>0.12084940706071212</v>
      </c>
      <c r="H151" s="61">
        <v>0.21815166717400691</v>
      </c>
      <c r="I151" s="61">
        <v>0.31545392728730165</v>
      </c>
      <c r="J151" s="61">
        <v>0.4127561874005965</v>
      </c>
      <c r="K151" s="61">
        <v>0.51005844751389129</v>
      </c>
    </row>
    <row r="152" spans="2:11" x14ac:dyDescent="0.3">
      <c r="B152" s="33" t="s">
        <v>60</v>
      </c>
      <c r="C152" s="34" t="str">
        <f>C125</f>
        <v>Kazakhstan</v>
      </c>
      <c r="D152" s="39" t="s">
        <v>74</v>
      </c>
      <c r="E152" s="65">
        <v>1</v>
      </c>
      <c r="F152" s="61">
        <v>9.8400000000000001E-2</v>
      </c>
      <c r="G152" s="61">
        <v>0.24840000000000001</v>
      </c>
      <c r="H152" s="61">
        <v>0.44840000000000002</v>
      </c>
      <c r="I152" s="61">
        <v>0.64839999999999998</v>
      </c>
      <c r="J152" s="61">
        <v>0.84840000000000004</v>
      </c>
      <c r="K152" s="61">
        <v>1.0484</v>
      </c>
    </row>
    <row r="153" spans="2:11" x14ac:dyDescent="0.3">
      <c r="B153" s="35"/>
      <c r="C153" s="36"/>
      <c r="D153" s="39" t="s">
        <v>75</v>
      </c>
      <c r="E153" s="65">
        <v>1</v>
      </c>
      <c r="F153" s="61">
        <v>9.8400000000000001E-2</v>
      </c>
      <c r="G153" s="61">
        <v>0.24840000000000001</v>
      </c>
      <c r="H153" s="61">
        <v>0.44840000000000002</v>
      </c>
      <c r="I153" s="61">
        <v>0.64839999999999998</v>
      </c>
      <c r="J153" s="61">
        <v>0.84840000000000004</v>
      </c>
      <c r="K153" s="61">
        <v>1.0484</v>
      </c>
    </row>
    <row r="154" spans="2:11" ht="15" thickBot="1" x14ac:dyDescent="0.35">
      <c r="B154" s="43"/>
      <c r="C154" s="44"/>
      <c r="D154" s="66" t="s">
        <v>76</v>
      </c>
      <c r="E154" s="67">
        <v>1</v>
      </c>
      <c r="F154" s="68">
        <v>9.8400000000000001E-2</v>
      </c>
      <c r="G154" s="68">
        <v>0.24840000000000001</v>
      </c>
      <c r="H154" s="68">
        <v>0.44840000000000002</v>
      </c>
      <c r="I154" s="68">
        <v>0.64839999999999998</v>
      </c>
      <c r="J154" s="68">
        <v>0.84840000000000004</v>
      </c>
      <c r="K154" s="68">
        <v>1.0484</v>
      </c>
    </row>
    <row r="155" spans="2:11" x14ac:dyDescent="0.3">
      <c r="B155" s="45" t="s">
        <v>13</v>
      </c>
      <c r="C155" s="46" t="s">
        <v>97</v>
      </c>
      <c r="D155" s="69" t="s">
        <v>74</v>
      </c>
      <c r="E155" s="70">
        <v>4.6492706514150755E-4</v>
      </c>
      <c r="F155" s="71">
        <v>4.5748823209924344E-5</v>
      </c>
      <c r="G155" s="71">
        <v>1.1548788298115048E-4</v>
      </c>
      <c r="H155" s="71">
        <v>2.0847329600945198E-4</v>
      </c>
      <c r="I155" s="71">
        <v>3.0145870903775348E-4</v>
      </c>
      <c r="J155" s="71">
        <v>3.94444122066055E-4</v>
      </c>
      <c r="K155" s="71">
        <v>4.8742953509435652E-4</v>
      </c>
    </row>
    <row r="156" spans="2:11" x14ac:dyDescent="0.3">
      <c r="B156" s="47"/>
      <c r="C156" s="48"/>
      <c r="D156" s="51" t="s">
        <v>75</v>
      </c>
      <c r="E156" s="52">
        <v>2.7751885700586961E-5</v>
      </c>
      <c r="F156" s="72">
        <v>2.7307855529377568E-6</v>
      </c>
      <c r="G156" s="72">
        <v>6.8935684080258016E-6</v>
      </c>
      <c r="H156" s="72">
        <v>1.2443945548143193E-5</v>
      </c>
      <c r="I156" s="72">
        <v>1.7994322688260584E-5</v>
      </c>
      <c r="J156" s="72">
        <v>2.3544699828377981E-5</v>
      </c>
      <c r="K156" s="72">
        <v>2.9095076968495371E-5</v>
      </c>
    </row>
    <row r="157" spans="2:11" x14ac:dyDescent="0.3">
      <c r="B157" s="47"/>
      <c r="C157" s="48"/>
      <c r="D157" s="51" t="s">
        <v>76</v>
      </c>
      <c r="E157" s="52">
        <v>5.0604482783830136E-4</v>
      </c>
      <c r="F157" s="72">
        <v>4.9794811059288854E-5</v>
      </c>
      <c r="G157" s="72">
        <v>1.2570153523503406E-4</v>
      </c>
      <c r="H157" s="72">
        <v>2.2691050080269435E-4</v>
      </c>
      <c r="I157" s="72">
        <v>3.2811946637035459E-4</v>
      </c>
      <c r="J157" s="72">
        <v>4.293284319380149E-4</v>
      </c>
      <c r="K157" s="72">
        <v>5.3053739750567516E-4</v>
      </c>
    </row>
    <row r="158" spans="2:11" x14ac:dyDescent="0.3">
      <c r="B158" s="49" t="s">
        <v>19</v>
      </c>
      <c r="C158" s="50" t="str">
        <f>C155</f>
        <v>Maldives</v>
      </c>
      <c r="D158" s="51" t="s">
        <v>74</v>
      </c>
      <c r="E158" s="52">
        <v>3.6445536100020337E-3</v>
      </c>
      <c r="F158" s="72">
        <v>3.5862407522420012E-4</v>
      </c>
      <c r="G158" s="72">
        <v>9.0530711672450522E-4</v>
      </c>
      <c r="H158" s="72">
        <v>1.6342178387249121E-3</v>
      </c>
      <c r="I158" s="72">
        <v>2.3631285607253185E-3</v>
      </c>
      <c r="J158" s="72">
        <v>3.0920392827257256E-3</v>
      </c>
      <c r="K158" s="72">
        <v>3.8209500047261323E-3</v>
      </c>
    </row>
    <row r="159" spans="2:11" x14ac:dyDescent="0.3">
      <c r="B159" s="47"/>
      <c r="C159" s="47"/>
      <c r="D159" s="73" t="s">
        <v>75</v>
      </c>
      <c r="E159" s="52">
        <v>4.6450029271013522E-4</v>
      </c>
      <c r="F159" s="72">
        <v>4.5706828802677305E-5</v>
      </c>
      <c r="G159" s="72">
        <v>1.1538187270919759E-4</v>
      </c>
      <c r="H159" s="72">
        <v>2.0828193125122465E-4</v>
      </c>
      <c r="I159" s="72">
        <v>3.0118198979325168E-4</v>
      </c>
      <c r="J159" s="72">
        <v>3.9408204833527873E-4</v>
      </c>
      <c r="K159" s="72">
        <v>4.8698210687730579E-4</v>
      </c>
    </row>
    <row r="160" spans="2:11" x14ac:dyDescent="0.3">
      <c r="B160" s="47"/>
      <c r="C160" s="48"/>
      <c r="D160" s="51" t="s">
        <v>76</v>
      </c>
      <c r="E160" s="52">
        <v>3.8769060935437793E-3</v>
      </c>
      <c r="F160" s="72">
        <v>3.8148755960470791E-4</v>
      </c>
      <c r="G160" s="72">
        <v>9.6302347363627487E-4</v>
      </c>
      <c r="H160" s="72">
        <v>1.7384046923450307E-3</v>
      </c>
      <c r="I160" s="72">
        <v>2.5137859110537864E-3</v>
      </c>
      <c r="J160" s="72">
        <v>3.2891671297625427E-3</v>
      </c>
      <c r="K160" s="72">
        <v>4.0645483484712981E-3</v>
      </c>
    </row>
    <row r="161" spans="2:11" x14ac:dyDescent="0.3">
      <c r="B161" s="53" t="s">
        <v>24</v>
      </c>
      <c r="C161" s="54" t="str">
        <f>C155</f>
        <v>Maldives</v>
      </c>
      <c r="D161" s="51" t="s">
        <v>74</v>
      </c>
      <c r="E161" s="52">
        <v>3.6984887734873803E-3</v>
      </c>
      <c r="F161" s="72">
        <v>3.6393129531115824E-4</v>
      </c>
      <c r="G161" s="72">
        <v>9.1870461133426533E-4</v>
      </c>
      <c r="H161" s="72">
        <v>1.6584023660317414E-3</v>
      </c>
      <c r="I161" s="72">
        <v>2.3981001207292172E-3</v>
      </c>
      <c r="J161" s="72">
        <v>3.1377978754266937E-3</v>
      </c>
      <c r="K161" s="72">
        <v>3.8774956301241693E-3</v>
      </c>
    </row>
    <row r="162" spans="2:11" x14ac:dyDescent="0.3">
      <c r="B162" s="47"/>
      <c r="C162" s="48"/>
      <c r="D162" s="51" t="s">
        <v>75</v>
      </c>
      <c r="E162" s="52">
        <v>4.7395217602098E-4</v>
      </c>
      <c r="F162" s="72">
        <v>4.6636894120464434E-5</v>
      </c>
      <c r="G162" s="72">
        <v>1.1772972052361143E-4</v>
      </c>
      <c r="H162" s="72">
        <v>2.1252015572780744E-4</v>
      </c>
      <c r="I162" s="72">
        <v>3.073105909320034E-4</v>
      </c>
      <c r="J162" s="72">
        <v>4.0210102613619946E-4</v>
      </c>
      <c r="K162" s="72">
        <v>4.9689146134039542E-4</v>
      </c>
    </row>
    <row r="163" spans="2:11" x14ac:dyDescent="0.3">
      <c r="B163" s="47"/>
      <c r="C163" s="48"/>
      <c r="D163" s="51" t="s">
        <v>76</v>
      </c>
      <c r="E163" s="52">
        <v>3.9336284418019845E-3</v>
      </c>
      <c r="F163" s="72">
        <v>3.8706903867331529E-4</v>
      </c>
      <c r="G163" s="72">
        <v>9.7711330494361305E-4</v>
      </c>
      <c r="H163" s="72">
        <v>1.76383899330401E-3</v>
      </c>
      <c r="I163" s="72">
        <v>2.5505646816644067E-3</v>
      </c>
      <c r="J163" s="72">
        <v>3.3372903700248039E-3</v>
      </c>
      <c r="K163" s="72">
        <v>4.1240160583852006E-3</v>
      </c>
    </row>
    <row r="164" spans="2:11" x14ac:dyDescent="0.3">
      <c r="B164" s="53" t="s">
        <v>30</v>
      </c>
      <c r="C164" s="54" t="str">
        <f>C155</f>
        <v>Maldives</v>
      </c>
      <c r="D164" s="51" t="s">
        <v>74</v>
      </c>
      <c r="E164" s="52">
        <v>7.5734196075182801E-3</v>
      </c>
      <c r="F164" s="72">
        <v>7.4522448937979879E-4</v>
      </c>
      <c r="G164" s="72">
        <v>1.8812374305075409E-3</v>
      </c>
      <c r="H164" s="72">
        <v>3.3959213520111968E-3</v>
      </c>
      <c r="I164" s="72">
        <v>4.9106052735148524E-3</v>
      </c>
      <c r="J164" s="72">
        <v>6.425289195018509E-3</v>
      </c>
      <c r="K164" s="72">
        <v>7.9399731165221647E-3</v>
      </c>
    </row>
    <row r="165" spans="2:11" x14ac:dyDescent="0.3">
      <c r="B165" s="47"/>
      <c r="C165" s="48"/>
      <c r="D165" s="51" t="s">
        <v>75</v>
      </c>
      <c r="E165" s="52">
        <v>1.2682410690997782E-3</v>
      </c>
      <c r="F165" s="72">
        <v>1.2479492119941819E-4</v>
      </c>
      <c r="G165" s="72">
        <v>3.1503108156438493E-4</v>
      </c>
      <c r="H165" s="72">
        <v>5.6867929538434057E-4</v>
      </c>
      <c r="I165" s="72">
        <v>8.2232750920429622E-4</v>
      </c>
      <c r="J165" s="72">
        <v>1.0759757230242519E-3</v>
      </c>
      <c r="K165" s="72">
        <v>1.3296239368442075E-3</v>
      </c>
    </row>
    <row r="166" spans="2:11" x14ac:dyDescent="0.3">
      <c r="B166" s="55"/>
      <c r="C166" s="56"/>
      <c r="D166" s="51" t="s">
        <v>76</v>
      </c>
      <c r="E166" s="52">
        <v>7.9896144262182577E-3</v>
      </c>
      <c r="F166" s="72">
        <v>7.8617805953987662E-4</v>
      </c>
      <c r="G166" s="72">
        <v>1.9846202234726153E-3</v>
      </c>
      <c r="H166" s="72">
        <v>3.582543108716267E-3</v>
      </c>
      <c r="I166" s="72">
        <v>5.1804659939599183E-3</v>
      </c>
      <c r="J166" s="72">
        <v>6.77838887920357E-3</v>
      </c>
      <c r="K166" s="72">
        <v>8.3763117644472217E-3</v>
      </c>
    </row>
    <row r="167" spans="2:11" x14ac:dyDescent="0.3">
      <c r="B167" s="53" t="s">
        <v>46</v>
      </c>
      <c r="C167" s="54" t="str">
        <f>C155</f>
        <v>Maldives</v>
      </c>
      <c r="D167" s="51" t="s">
        <v>74</v>
      </c>
      <c r="E167" s="52">
        <v>1.6034800235476529E-2</v>
      </c>
      <c r="F167" s="72">
        <v>1.5778243431708904E-3</v>
      </c>
      <c r="G167" s="72">
        <v>3.9830443784923701E-3</v>
      </c>
      <c r="H167" s="72">
        <v>7.1900044255876761E-3</v>
      </c>
      <c r="I167" s="72">
        <v>1.0396964472682981E-2</v>
      </c>
      <c r="J167" s="72">
        <v>1.3603924519778288E-2</v>
      </c>
      <c r="K167" s="72">
        <v>1.6810884566873591E-2</v>
      </c>
    </row>
    <row r="168" spans="2:11" x14ac:dyDescent="0.3">
      <c r="B168" s="47"/>
      <c r="C168" s="48"/>
      <c r="D168" s="51" t="s">
        <v>75</v>
      </c>
      <c r="E168" s="52">
        <v>3.5701924156574865E-3</v>
      </c>
      <c r="F168" s="72">
        <v>3.5130693370069669E-4</v>
      </c>
      <c r="G168" s="72">
        <v>8.8683579604931966E-4</v>
      </c>
      <c r="H168" s="72">
        <v>1.6008742791808171E-3</v>
      </c>
      <c r="I168" s="72">
        <v>2.3149127623123141E-3</v>
      </c>
      <c r="J168" s="72">
        <v>3.0289512454438118E-3</v>
      </c>
      <c r="K168" s="72">
        <v>3.742989728575309E-3</v>
      </c>
    </row>
    <row r="169" spans="2:11" x14ac:dyDescent="0.3">
      <c r="B169" s="47"/>
      <c r="C169" s="48"/>
      <c r="D169" s="51" t="s">
        <v>76</v>
      </c>
      <c r="E169" s="52">
        <v>1.6769320835441116E-2</v>
      </c>
      <c r="F169" s="72">
        <v>1.6501011702074059E-3</v>
      </c>
      <c r="G169" s="72">
        <v>4.1654992955235731E-3</v>
      </c>
      <c r="H169" s="72">
        <v>7.5193634626117972E-3</v>
      </c>
      <c r="I169" s="72">
        <v>1.0873227629700019E-2</v>
      </c>
      <c r="J169" s="72">
        <v>1.4227091796788244E-2</v>
      </c>
      <c r="K169" s="72">
        <v>1.7580955963876467E-2</v>
      </c>
    </row>
    <row r="170" spans="2:11" x14ac:dyDescent="0.3">
      <c r="B170" s="53" t="s">
        <v>50</v>
      </c>
      <c r="C170" s="54" t="str">
        <f>C155</f>
        <v>Maldives</v>
      </c>
      <c r="D170" s="51" t="s">
        <v>74</v>
      </c>
      <c r="E170" s="52">
        <v>3.4550958086671808E-2</v>
      </c>
      <c r="F170" s="72">
        <v>3.3998142757285061E-3</v>
      </c>
      <c r="G170" s="72">
        <v>8.5824579887292772E-3</v>
      </c>
      <c r="H170" s="72">
        <v>1.5492649606063639E-2</v>
      </c>
      <c r="I170" s="72">
        <v>2.2402841223398001E-2</v>
      </c>
      <c r="J170" s="72">
        <v>2.9313032840732365E-2</v>
      </c>
      <c r="K170" s="72">
        <v>3.6223224458066722E-2</v>
      </c>
    </row>
    <row r="171" spans="2:11" x14ac:dyDescent="0.3">
      <c r="B171" s="47"/>
      <c r="C171" s="48"/>
      <c r="D171" s="51" t="s">
        <v>75</v>
      </c>
      <c r="E171" s="52">
        <v>1.0396813184479489E-2</v>
      </c>
      <c r="F171" s="72">
        <v>1.0230464173527818E-3</v>
      </c>
      <c r="G171" s="72">
        <v>2.5825683950247052E-3</v>
      </c>
      <c r="H171" s="72">
        <v>4.6619310319206027E-3</v>
      </c>
      <c r="I171" s="72">
        <v>6.7412936688165002E-3</v>
      </c>
      <c r="J171" s="72">
        <v>8.8206563057123977E-3</v>
      </c>
      <c r="K171" s="72">
        <v>1.0900018942608296E-2</v>
      </c>
    </row>
    <row r="172" spans="2:11" x14ac:dyDescent="0.3">
      <c r="B172" s="47"/>
      <c r="C172" s="48"/>
      <c r="D172" s="51" t="s">
        <v>76</v>
      </c>
      <c r="E172" s="52">
        <v>3.5801236715889528E-2</v>
      </c>
      <c r="F172" s="72">
        <v>3.5228416928435296E-3</v>
      </c>
      <c r="G172" s="72">
        <v>8.8930272002269595E-3</v>
      </c>
      <c r="H172" s="72">
        <v>1.6053274543404866E-2</v>
      </c>
      <c r="I172" s="72">
        <v>2.321352188658277E-2</v>
      </c>
      <c r="J172" s="72">
        <v>3.0373769229760678E-2</v>
      </c>
      <c r="K172" s="72">
        <v>3.7534016572938582E-2</v>
      </c>
    </row>
    <row r="173" spans="2:11" x14ac:dyDescent="0.3">
      <c r="B173" s="53" t="s">
        <v>53</v>
      </c>
      <c r="C173" s="54" t="str">
        <f>C155</f>
        <v>Maldives</v>
      </c>
      <c r="D173" s="51" t="s">
        <v>74</v>
      </c>
      <c r="E173" s="52">
        <v>6.0930049778567641E-2</v>
      </c>
      <c r="F173" s="72">
        <v>5.9955168982110561E-3</v>
      </c>
      <c r="G173" s="72">
        <v>1.5135024364996202E-2</v>
      </c>
      <c r="H173" s="72">
        <v>2.7321034320709731E-2</v>
      </c>
      <c r="I173" s="72">
        <v>3.9507044276423257E-2</v>
      </c>
      <c r="J173" s="72">
        <v>5.1693054232136791E-2</v>
      </c>
      <c r="K173" s="72">
        <v>6.3879064187850318E-2</v>
      </c>
    </row>
    <row r="174" spans="2:11" x14ac:dyDescent="0.3">
      <c r="B174" s="47"/>
      <c r="C174" s="48"/>
      <c r="D174" s="51" t="s">
        <v>75</v>
      </c>
      <c r="E174" s="52">
        <v>2.3156325273423824E-2</v>
      </c>
      <c r="F174" s="72">
        <v>2.2785824069049042E-3</v>
      </c>
      <c r="G174" s="72">
        <v>5.7520311979184779E-3</v>
      </c>
      <c r="H174" s="72">
        <v>1.0383296252603242E-2</v>
      </c>
      <c r="I174" s="72">
        <v>1.5014561307288007E-2</v>
      </c>
      <c r="J174" s="72">
        <v>1.9645826361972773E-2</v>
      </c>
      <c r="K174" s="72">
        <v>2.4277091416657536E-2</v>
      </c>
    </row>
    <row r="175" spans="2:11" x14ac:dyDescent="0.3">
      <c r="B175" s="47"/>
      <c r="C175" s="48"/>
      <c r="D175" s="51" t="s">
        <v>76</v>
      </c>
      <c r="E175" s="52">
        <v>6.2684978386657611E-2</v>
      </c>
      <c r="F175" s="72">
        <v>6.1682018732471091E-3</v>
      </c>
      <c r="G175" s="72">
        <v>1.5570948631245751E-2</v>
      </c>
      <c r="H175" s="72">
        <v>2.8107944308577274E-2</v>
      </c>
      <c r="I175" s="72">
        <v>4.064493998590879E-2</v>
      </c>
      <c r="J175" s="72">
        <v>5.3181935663240316E-2</v>
      </c>
      <c r="K175" s="72">
        <v>6.5718931340571843E-2</v>
      </c>
    </row>
    <row r="176" spans="2:11" x14ac:dyDescent="0.3">
      <c r="B176" s="53" t="s">
        <v>55</v>
      </c>
      <c r="C176" s="54" t="str">
        <f>C155</f>
        <v>Maldives</v>
      </c>
      <c r="D176" s="51" t="s">
        <v>74</v>
      </c>
      <c r="E176" s="74">
        <v>0.14264520037570136</v>
      </c>
      <c r="F176" s="72">
        <v>1.4036287716969013E-2</v>
      </c>
      <c r="G176" s="72">
        <v>3.5433067773324216E-2</v>
      </c>
      <c r="H176" s="72">
        <v>6.3962107848464497E-2</v>
      </c>
      <c r="I176" s="72">
        <v>9.2491147923604758E-2</v>
      </c>
      <c r="J176" s="72">
        <v>0.12102018799874503</v>
      </c>
      <c r="K176" s="72">
        <v>0.14954922807388529</v>
      </c>
    </row>
    <row r="177" spans="2:11" x14ac:dyDescent="0.3">
      <c r="B177" s="47"/>
      <c r="C177" s="48"/>
      <c r="D177" s="51" t="s">
        <v>75</v>
      </c>
      <c r="E177" s="74">
        <v>7.914454947348705E-2</v>
      </c>
      <c r="F177" s="72">
        <v>7.7878236681911258E-3</v>
      </c>
      <c r="G177" s="72">
        <v>1.9659506089214185E-2</v>
      </c>
      <c r="H177" s="72">
        <v>3.5488415983911593E-2</v>
      </c>
      <c r="I177" s="72">
        <v>5.1317325878609002E-2</v>
      </c>
      <c r="J177" s="72">
        <v>6.7146235773306417E-2</v>
      </c>
      <c r="K177" s="72">
        <v>8.2975145668003819E-2</v>
      </c>
    </row>
    <row r="178" spans="2:11" x14ac:dyDescent="0.3">
      <c r="B178" s="47"/>
      <c r="C178" s="48"/>
      <c r="D178" s="51" t="s">
        <v>76</v>
      </c>
      <c r="E178" s="74">
        <v>0.14509047015149462</v>
      </c>
      <c r="F178" s="72">
        <v>1.427690226290707E-2</v>
      </c>
      <c r="G178" s="72">
        <v>3.6040472785631265E-2</v>
      </c>
      <c r="H178" s="72">
        <v>6.5058566815930197E-2</v>
      </c>
      <c r="I178" s="72">
        <v>9.4076660846229107E-2</v>
      </c>
      <c r="J178" s="72">
        <v>0.12309475487652805</v>
      </c>
      <c r="K178" s="72">
        <v>0.15211284890682697</v>
      </c>
    </row>
    <row r="179" spans="2:11" x14ac:dyDescent="0.3">
      <c r="B179" s="53" t="s">
        <v>58</v>
      </c>
      <c r="C179" s="54" t="str">
        <f>C155</f>
        <v>Maldives</v>
      </c>
      <c r="D179" s="51" t="s">
        <v>74</v>
      </c>
      <c r="E179" s="74">
        <v>0.48546050341204788</v>
      </c>
      <c r="F179" s="72">
        <v>4.7769313535745511E-2</v>
      </c>
      <c r="G179" s="72">
        <v>0.1205883890475527</v>
      </c>
      <c r="H179" s="72">
        <v>0.21768048972996229</v>
      </c>
      <c r="I179" s="72">
        <v>0.31477259041237182</v>
      </c>
      <c r="J179" s="72">
        <v>0.41186469109478147</v>
      </c>
      <c r="K179" s="72">
        <v>0.508956791777191</v>
      </c>
    </row>
    <row r="180" spans="2:11" x14ac:dyDescent="0.3">
      <c r="B180" s="47"/>
      <c r="C180" s="48"/>
      <c r="D180" s="51" t="s">
        <v>75</v>
      </c>
      <c r="E180" s="74">
        <v>0.48010570118130919</v>
      </c>
      <c r="F180" s="72">
        <v>4.7242400996240823E-2</v>
      </c>
      <c r="G180" s="72">
        <v>0.1192582561734372</v>
      </c>
      <c r="H180" s="72">
        <v>0.21527939640969904</v>
      </c>
      <c r="I180" s="72">
        <v>0.31130053664596086</v>
      </c>
      <c r="J180" s="72">
        <v>0.40732167688222276</v>
      </c>
      <c r="K180" s="72">
        <v>0.5033428171184845</v>
      </c>
    </row>
    <row r="181" spans="2:11" x14ac:dyDescent="0.3">
      <c r="B181" s="47"/>
      <c r="C181" s="48"/>
      <c r="D181" s="51" t="s">
        <v>76</v>
      </c>
      <c r="E181" s="74">
        <v>0.48562146286646463</v>
      </c>
      <c r="F181" s="72">
        <v>4.7785151946060117E-2</v>
      </c>
      <c r="G181" s="72">
        <v>0.12062837137602982</v>
      </c>
      <c r="H181" s="72">
        <v>0.21775266394932274</v>
      </c>
      <c r="I181" s="72">
        <v>0.31487695652261566</v>
      </c>
      <c r="J181" s="72">
        <v>0.41200124909590863</v>
      </c>
      <c r="K181" s="72">
        <v>0.50912554166920154</v>
      </c>
    </row>
    <row r="182" spans="2:11" x14ac:dyDescent="0.3">
      <c r="B182" s="53" t="s">
        <v>60</v>
      </c>
      <c r="C182" s="54" t="str">
        <f>C155</f>
        <v>Maldives</v>
      </c>
      <c r="D182" s="51" t="s">
        <v>74</v>
      </c>
      <c r="E182" s="75">
        <v>1</v>
      </c>
      <c r="F182" s="72">
        <v>9.8400000000000001E-2</v>
      </c>
      <c r="G182" s="72">
        <v>0.24840000000000001</v>
      </c>
      <c r="H182" s="72">
        <v>0.44840000000000002</v>
      </c>
      <c r="I182" s="72">
        <v>0.64839999999999998</v>
      </c>
      <c r="J182" s="72">
        <v>0.84840000000000004</v>
      </c>
      <c r="K182" s="72">
        <v>1.0484</v>
      </c>
    </row>
    <row r="183" spans="2:11" x14ac:dyDescent="0.3">
      <c r="B183" s="47"/>
      <c r="C183" s="48"/>
      <c r="D183" s="51" t="s">
        <v>75</v>
      </c>
      <c r="E183" s="75">
        <v>1</v>
      </c>
      <c r="F183" s="72">
        <v>9.8400000000000001E-2</v>
      </c>
      <c r="G183" s="72">
        <v>0.24840000000000001</v>
      </c>
      <c r="H183" s="72">
        <v>0.44840000000000002</v>
      </c>
      <c r="I183" s="72">
        <v>0.64839999999999998</v>
      </c>
      <c r="J183" s="72">
        <v>0.84840000000000004</v>
      </c>
      <c r="K183" s="72">
        <v>1.0484</v>
      </c>
    </row>
    <row r="184" spans="2:11" ht="15" thickBot="1" x14ac:dyDescent="0.35">
      <c r="B184" s="57"/>
      <c r="C184" s="58"/>
      <c r="D184" s="76" t="s">
        <v>76</v>
      </c>
      <c r="E184" s="77">
        <v>1</v>
      </c>
      <c r="F184" s="78">
        <v>9.8400000000000001E-2</v>
      </c>
      <c r="G184" s="78">
        <v>0.24840000000000001</v>
      </c>
      <c r="H184" s="78">
        <v>0.44840000000000002</v>
      </c>
      <c r="I184" s="78">
        <v>0.64839999999999998</v>
      </c>
      <c r="J184" s="78">
        <v>0.84840000000000004</v>
      </c>
      <c r="K184" s="78">
        <v>1.0484</v>
      </c>
    </row>
    <row r="185" spans="2:11" x14ac:dyDescent="0.3">
      <c r="B185" s="33" t="s">
        <v>13</v>
      </c>
      <c r="C185" s="34" t="s">
        <v>98</v>
      </c>
      <c r="D185" s="39" t="s">
        <v>74</v>
      </c>
      <c r="E185" s="63">
        <v>3.1576054785385907E-4</v>
      </c>
      <c r="F185" s="61">
        <v>3.1070837908819734E-5</v>
      </c>
      <c r="G185" s="61">
        <v>7.8434920086898599E-5</v>
      </c>
      <c r="H185" s="61">
        <v>1.415870296576704E-4</v>
      </c>
      <c r="I185" s="61">
        <v>2.047391392284422E-4</v>
      </c>
      <c r="J185" s="61">
        <v>2.6789124879921406E-4</v>
      </c>
      <c r="K185" s="61">
        <v>3.3104335836998586E-4</v>
      </c>
    </row>
    <row r="186" spans="2:11" x14ac:dyDescent="0.3">
      <c r="B186" s="35"/>
      <c r="C186" s="36"/>
      <c r="D186" s="39" t="s">
        <v>75</v>
      </c>
      <c r="E186" s="63">
        <v>1.6548297343897339E-5</v>
      </c>
      <c r="F186" s="61">
        <v>1.6283524586394981E-6</v>
      </c>
      <c r="G186" s="61">
        <v>4.1105970602240995E-6</v>
      </c>
      <c r="H186" s="61">
        <v>7.420256529003567E-6</v>
      </c>
      <c r="I186" s="61">
        <v>1.0729915997783034E-5</v>
      </c>
      <c r="J186" s="61">
        <v>1.4039575466562504E-5</v>
      </c>
      <c r="K186" s="61">
        <v>1.7349234935341969E-5</v>
      </c>
    </row>
    <row r="187" spans="2:11" x14ac:dyDescent="0.3">
      <c r="B187" s="35"/>
      <c r="C187" s="36"/>
      <c r="D187" s="39" t="s">
        <v>76</v>
      </c>
      <c r="E187" s="63">
        <v>3.484378405145527E-4</v>
      </c>
      <c r="F187" s="61">
        <v>3.4286283506631986E-5</v>
      </c>
      <c r="G187" s="61">
        <v>8.6551959583814893E-5</v>
      </c>
      <c r="H187" s="61">
        <v>1.5623952768672544E-4</v>
      </c>
      <c r="I187" s="61">
        <v>2.2592709578963597E-4</v>
      </c>
      <c r="J187" s="61">
        <v>2.9561466389254655E-4</v>
      </c>
      <c r="K187" s="61">
        <v>3.6530223199545705E-4</v>
      </c>
    </row>
    <row r="188" spans="2:11" x14ac:dyDescent="0.3">
      <c r="B188" s="37" t="s">
        <v>19</v>
      </c>
      <c r="C188" s="38" t="str">
        <f>C185</f>
        <v>Mongolia</v>
      </c>
      <c r="D188" s="39" t="s">
        <v>74</v>
      </c>
      <c r="E188" s="40">
        <v>2.7417629101100399E-3</v>
      </c>
      <c r="F188" s="61">
        <v>2.6978947035482794E-4</v>
      </c>
      <c r="G188" s="61">
        <v>6.8105390687133393E-4</v>
      </c>
      <c r="H188" s="61">
        <v>1.229406488893342E-3</v>
      </c>
      <c r="I188" s="61">
        <v>1.7777590709153498E-3</v>
      </c>
      <c r="J188" s="61">
        <v>2.3261116529373579E-3</v>
      </c>
      <c r="K188" s="61">
        <v>2.874464234959366E-3</v>
      </c>
    </row>
    <row r="189" spans="2:11" x14ac:dyDescent="0.3">
      <c r="B189" s="35"/>
      <c r="C189" s="35"/>
      <c r="D189" s="64" t="s">
        <v>75</v>
      </c>
      <c r="E189" s="40">
        <v>3.1798723316734149E-4</v>
      </c>
      <c r="F189" s="61">
        <v>3.1289943743666404E-5</v>
      </c>
      <c r="G189" s="61">
        <v>7.8988028718767636E-5</v>
      </c>
      <c r="H189" s="61">
        <v>1.4258547535223593E-4</v>
      </c>
      <c r="I189" s="61">
        <v>2.0618292198570421E-4</v>
      </c>
      <c r="J189" s="61">
        <v>2.6978036861917252E-4</v>
      </c>
      <c r="K189" s="61">
        <v>3.3337781525264083E-4</v>
      </c>
    </row>
    <row r="190" spans="2:11" x14ac:dyDescent="0.3">
      <c r="B190" s="35"/>
      <c r="C190" s="36"/>
      <c r="D190" s="39" t="s">
        <v>76</v>
      </c>
      <c r="E190" s="40">
        <v>2.9475374174890447E-3</v>
      </c>
      <c r="F190" s="61">
        <v>2.9003768188092199E-4</v>
      </c>
      <c r="G190" s="61">
        <v>7.3216829450427877E-4</v>
      </c>
      <c r="H190" s="61">
        <v>1.3216757780020877E-3</v>
      </c>
      <c r="I190" s="61">
        <v>1.9111832614998965E-3</v>
      </c>
      <c r="J190" s="61">
        <v>2.5006907449977057E-3</v>
      </c>
      <c r="K190" s="61">
        <v>3.0901982284955143E-3</v>
      </c>
    </row>
    <row r="191" spans="2:11" x14ac:dyDescent="0.3">
      <c r="B191" s="33" t="s">
        <v>24</v>
      </c>
      <c r="C191" s="34" t="str">
        <f>C185</f>
        <v>Mongolia</v>
      </c>
      <c r="D191" s="39" t="s">
        <v>74</v>
      </c>
      <c r="E191" s="40">
        <v>2.7844074314769891E-3</v>
      </c>
      <c r="F191" s="61">
        <v>2.7398569125733574E-4</v>
      </c>
      <c r="G191" s="61">
        <v>6.9164680597888408E-4</v>
      </c>
      <c r="H191" s="61">
        <v>1.2485282922742821E-3</v>
      </c>
      <c r="I191" s="61">
        <v>1.8054097785696797E-3</v>
      </c>
      <c r="J191" s="61">
        <v>2.3622912648650777E-3</v>
      </c>
      <c r="K191" s="61">
        <v>2.9191727511604752E-3</v>
      </c>
    </row>
    <row r="192" spans="2:11" x14ac:dyDescent="0.3">
      <c r="B192" s="35"/>
      <c r="C192" s="36"/>
      <c r="D192" s="39" t="s">
        <v>75</v>
      </c>
      <c r="E192" s="40">
        <v>3.2477970732019783E-4</v>
      </c>
      <c r="F192" s="61">
        <v>3.1958323200307468E-5</v>
      </c>
      <c r="G192" s="61">
        <v>8.0675279298337139E-5</v>
      </c>
      <c r="H192" s="61">
        <v>1.4563122076237671E-4</v>
      </c>
      <c r="I192" s="61">
        <v>2.1058716222641626E-4</v>
      </c>
      <c r="J192" s="61">
        <v>2.7554310369045585E-4</v>
      </c>
      <c r="K192" s="61">
        <v>3.404990451544954E-4</v>
      </c>
    </row>
    <row r="193" spans="2:11" x14ac:dyDescent="0.3">
      <c r="B193" s="35"/>
      <c r="C193" s="36"/>
      <c r="D193" s="39" t="s">
        <v>76</v>
      </c>
      <c r="E193" s="40">
        <v>2.9928154725373762E-3</v>
      </c>
      <c r="F193" s="61">
        <v>2.9449304249767785E-4</v>
      </c>
      <c r="G193" s="61">
        <v>7.4341536337828426E-4</v>
      </c>
      <c r="H193" s="61">
        <v>1.3419784578857597E-3</v>
      </c>
      <c r="I193" s="61">
        <v>1.9405415523932347E-3</v>
      </c>
      <c r="J193" s="61">
        <v>2.53910464690071E-3</v>
      </c>
      <c r="K193" s="61">
        <v>3.1376677414081851E-3</v>
      </c>
    </row>
    <row r="194" spans="2:11" x14ac:dyDescent="0.3">
      <c r="B194" s="33" t="s">
        <v>30</v>
      </c>
      <c r="C194" s="34" t="str">
        <f>C185</f>
        <v>Mongolia</v>
      </c>
      <c r="D194" s="39" t="s">
        <v>74</v>
      </c>
      <c r="E194" s="40">
        <v>5.9144813519299531E-3</v>
      </c>
      <c r="F194" s="61">
        <v>5.8198496502990735E-4</v>
      </c>
      <c r="G194" s="61">
        <v>1.4691571678194003E-3</v>
      </c>
      <c r="H194" s="61">
        <v>2.6520534382053909E-3</v>
      </c>
      <c r="I194" s="61">
        <v>3.8349497085913816E-3</v>
      </c>
      <c r="J194" s="61">
        <v>5.0178459789773722E-3</v>
      </c>
      <c r="K194" s="61">
        <v>6.2007422493633628E-3</v>
      </c>
    </row>
    <row r="195" spans="2:11" x14ac:dyDescent="0.3">
      <c r="B195" s="35"/>
      <c r="C195" s="36"/>
      <c r="D195" s="39" t="s">
        <v>75</v>
      </c>
      <c r="E195" s="40">
        <v>9.1234513027630922E-4</v>
      </c>
      <c r="F195" s="61">
        <v>8.977476081918883E-5</v>
      </c>
      <c r="G195" s="61">
        <v>2.2662653036063522E-4</v>
      </c>
      <c r="H195" s="61">
        <v>4.0909555641589708E-4</v>
      </c>
      <c r="I195" s="61">
        <v>5.9156458247115891E-4</v>
      </c>
      <c r="J195" s="61">
        <v>7.740336085264208E-4</v>
      </c>
      <c r="K195" s="61">
        <v>9.5650263458168258E-4</v>
      </c>
    </row>
    <row r="196" spans="2:11" x14ac:dyDescent="0.3">
      <c r="B196" s="41"/>
      <c r="C196" s="42"/>
      <c r="D196" s="39" t="s">
        <v>76</v>
      </c>
      <c r="E196" s="40">
        <v>6.2981337052961071E-3</v>
      </c>
      <c r="F196" s="61">
        <v>6.1973635660113693E-4</v>
      </c>
      <c r="G196" s="61">
        <v>1.5644564123955531E-3</v>
      </c>
      <c r="H196" s="61">
        <v>2.8240831534547747E-3</v>
      </c>
      <c r="I196" s="61">
        <v>4.0837098945139955E-3</v>
      </c>
      <c r="J196" s="61">
        <v>5.3433366355732179E-3</v>
      </c>
      <c r="K196" s="61">
        <v>6.6029633766324387E-3</v>
      </c>
    </row>
    <row r="197" spans="2:11" x14ac:dyDescent="0.3">
      <c r="B197" s="33" t="s">
        <v>46</v>
      </c>
      <c r="C197" s="34" t="str">
        <f>C185</f>
        <v>Mongolia</v>
      </c>
      <c r="D197" s="39" t="s">
        <v>74</v>
      </c>
      <c r="E197" s="40">
        <v>1.3025734839436556E-2</v>
      </c>
      <c r="F197" s="61">
        <v>1.2817323082005571E-3</v>
      </c>
      <c r="G197" s="61">
        <v>3.2355925341160407E-3</v>
      </c>
      <c r="H197" s="61">
        <v>5.8407395020033514E-3</v>
      </c>
      <c r="I197" s="61">
        <v>8.4458864698906625E-3</v>
      </c>
      <c r="J197" s="61">
        <v>1.1051033437777974E-2</v>
      </c>
      <c r="K197" s="61">
        <v>1.3656180405665285E-2</v>
      </c>
    </row>
    <row r="198" spans="2:11" x14ac:dyDescent="0.3">
      <c r="B198" s="35"/>
      <c r="C198" s="36"/>
      <c r="D198" s="39" t="s">
        <v>75</v>
      </c>
      <c r="E198" s="40">
        <v>2.7041987421752645E-3</v>
      </c>
      <c r="F198" s="61">
        <v>2.6609315623004601E-4</v>
      </c>
      <c r="G198" s="61">
        <v>6.7172296755633576E-4</v>
      </c>
      <c r="H198" s="61">
        <v>1.2125627159913887E-3</v>
      </c>
      <c r="I198" s="61">
        <v>1.7534024644264414E-3</v>
      </c>
      <c r="J198" s="61">
        <v>2.2942422128614946E-3</v>
      </c>
      <c r="K198" s="61">
        <v>2.8350819612965473E-3</v>
      </c>
    </row>
    <row r="199" spans="2:11" x14ac:dyDescent="0.3">
      <c r="B199" s="35"/>
      <c r="C199" s="36"/>
      <c r="D199" s="39" t="s">
        <v>76</v>
      </c>
      <c r="E199" s="40">
        <v>1.3732424566173424E-2</v>
      </c>
      <c r="F199" s="61">
        <v>1.351270577311465E-3</v>
      </c>
      <c r="G199" s="61">
        <v>3.4111342622374788E-3</v>
      </c>
      <c r="H199" s="61">
        <v>6.1576191754721633E-3</v>
      </c>
      <c r="I199" s="61">
        <v>8.9041040887068486E-3</v>
      </c>
      <c r="J199" s="61">
        <v>1.1650589001941533E-2</v>
      </c>
      <c r="K199" s="61">
        <v>1.4397073915176218E-2</v>
      </c>
    </row>
    <row r="200" spans="2:11" x14ac:dyDescent="0.3">
      <c r="B200" s="33" t="s">
        <v>50</v>
      </c>
      <c r="C200" s="34" t="str">
        <f>C185</f>
        <v>Mongolia</v>
      </c>
      <c r="D200" s="39" t="s">
        <v>74</v>
      </c>
      <c r="E200" s="40">
        <v>2.9273317712464959E-2</v>
      </c>
      <c r="F200" s="61">
        <v>2.880494462906552E-3</v>
      </c>
      <c r="G200" s="61">
        <v>7.2714921197762957E-3</v>
      </c>
      <c r="H200" s="61">
        <v>1.3126155662269288E-2</v>
      </c>
      <c r="I200" s="61">
        <v>1.898081920476228E-2</v>
      </c>
      <c r="J200" s="61">
        <v>2.4835482747255271E-2</v>
      </c>
      <c r="K200" s="61">
        <v>3.0690146289748262E-2</v>
      </c>
    </row>
    <row r="201" spans="2:11" x14ac:dyDescent="0.3">
      <c r="B201" s="35"/>
      <c r="C201" s="36"/>
      <c r="D201" s="39" t="s">
        <v>75</v>
      </c>
      <c r="E201" s="40">
        <v>8.3140800325723439E-3</v>
      </c>
      <c r="F201" s="61">
        <v>8.181054752051186E-4</v>
      </c>
      <c r="G201" s="61">
        <v>2.0652174800909703E-3</v>
      </c>
      <c r="H201" s="61">
        <v>3.7280334866054391E-3</v>
      </c>
      <c r="I201" s="61">
        <v>5.3908494931199074E-3</v>
      </c>
      <c r="J201" s="61">
        <v>7.053665499634377E-3</v>
      </c>
      <c r="K201" s="61">
        <v>8.7164815061488449E-3</v>
      </c>
    </row>
    <row r="202" spans="2:11" x14ac:dyDescent="0.3">
      <c r="B202" s="35"/>
      <c r="C202" s="36"/>
      <c r="D202" s="39" t="s">
        <v>76</v>
      </c>
      <c r="E202" s="40">
        <v>3.0533621551197092E-2</v>
      </c>
      <c r="F202" s="61">
        <v>3.0045083606377939E-3</v>
      </c>
      <c r="G202" s="61">
        <v>7.5845515933173581E-3</v>
      </c>
      <c r="H202" s="61">
        <v>1.3691275903556777E-2</v>
      </c>
      <c r="I202" s="61">
        <v>1.9798000213796192E-2</v>
      </c>
      <c r="J202" s="61">
        <v>2.5904724524035614E-2</v>
      </c>
      <c r="K202" s="61">
        <v>3.2011448834275029E-2</v>
      </c>
    </row>
    <row r="203" spans="2:11" x14ac:dyDescent="0.3">
      <c r="B203" s="33" t="s">
        <v>53</v>
      </c>
      <c r="C203" s="34" t="str">
        <f>C185</f>
        <v>Mongolia</v>
      </c>
      <c r="D203" s="39" t="s">
        <v>74</v>
      </c>
      <c r="E203" s="40">
        <v>5.3343249956752596E-2</v>
      </c>
      <c r="F203" s="61">
        <v>5.2489757957444559E-3</v>
      </c>
      <c r="G203" s="61">
        <v>1.3250463289257346E-2</v>
      </c>
      <c r="H203" s="61">
        <v>2.3919113280607866E-2</v>
      </c>
      <c r="I203" s="61">
        <v>3.458776327195838E-2</v>
      </c>
      <c r="J203" s="61">
        <v>4.5256413263308905E-2</v>
      </c>
      <c r="K203" s="61">
        <v>5.5925063254659423E-2</v>
      </c>
    </row>
    <row r="204" spans="2:11" x14ac:dyDescent="0.3">
      <c r="B204" s="35"/>
      <c r="C204" s="36"/>
      <c r="D204" s="39" t="s">
        <v>75</v>
      </c>
      <c r="E204" s="40">
        <v>1.9311909568338489E-2</v>
      </c>
      <c r="F204" s="61">
        <v>1.9002919015245073E-3</v>
      </c>
      <c r="G204" s="61">
        <v>4.797078336775281E-3</v>
      </c>
      <c r="H204" s="61">
        <v>8.6594602504429796E-3</v>
      </c>
      <c r="I204" s="61">
        <v>1.2521842164110676E-2</v>
      </c>
      <c r="J204" s="61">
        <v>1.6384224077778377E-2</v>
      </c>
      <c r="K204" s="61">
        <v>2.0246605991446072E-2</v>
      </c>
    </row>
    <row r="205" spans="2:11" x14ac:dyDescent="0.3">
      <c r="B205" s="35"/>
      <c r="C205" s="36"/>
      <c r="D205" s="39" t="s">
        <v>76</v>
      </c>
      <c r="E205" s="40">
        <v>5.5179006078470039E-2</v>
      </c>
      <c r="F205" s="61">
        <v>5.4296141981214517E-3</v>
      </c>
      <c r="G205" s="61">
        <v>1.3706465109891958E-2</v>
      </c>
      <c r="H205" s="61">
        <v>2.4742266325585967E-2</v>
      </c>
      <c r="I205" s="61">
        <v>3.5778067541279969E-2</v>
      </c>
      <c r="J205" s="61">
        <v>4.6813868756973985E-2</v>
      </c>
      <c r="K205" s="61">
        <v>5.7849669972667987E-2</v>
      </c>
    </row>
    <row r="206" spans="2:11" x14ac:dyDescent="0.3">
      <c r="B206" s="33" t="s">
        <v>55</v>
      </c>
      <c r="C206" s="34" t="str">
        <f>C185</f>
        <v>Mongolia</v>
      </c>
      <c r="D206" s="39" t="s">
        <v>74</v>
      </c>
      <c r="E206" s="40">
        <v>0.13165520298956426</v>
      </c>
      <c r="F206" s="61">
        <v>1.2954871974173124E-2</v>
      </c>
      <c r="G206" s="61">
        <v>3.2703152422607767E-2</v>
      </c>
      <c r="H206" s="61">
        <v>5.9034193020520619E-2</v>
      </c>
      <c r="I206" s="61">
        <v>8.536523361843347E-2</v>
      </c>
      <c r="J206" s="61">
        <v>0.11169627421634633</v>
      </c>
      <c r="K206" s="61">
        <v>0.13802731481425917</v>
      </c>
    </row>
    <row r="207" spans="2:11" x14ac:dyDescent="0.3">
      <c r="B207" s="35"/>
      <c r="C207" s="36"/>
      <c r="D207" s="39" t="s">
        <v>75</v>
      </c>
      <c r="E207" s="40">
        <v>7.0711954045806366E-2</v>
      </c>
      <c r="F207" s="61">
        <v>6.9580562781073468E-3</v>
      </c>
      <c r="G207" s="61">
        <v>1.7564849384978303E-2</v>
      </c>
      <c r="H207" s="61">
        <v>3.1707240194139577E-2</v>
      </c>
      <c r="I207" s="61">
        <v>4.5849631003300848E-2</v>
      </c>
      <c r="J207" s="61">
        <v>5.9992021812462125E-2</v>
      </c>
      <c r="K207" s="61">
        <v>7.4134412621623388E-2</v>
      </c>
    </row>
    <row r="208" spans="2:11" x14ac:dyDescent="0.3">
      <c r="B208" s="35"/>
      <c r="C208" s="36"/>
      <c r="D208" s="39" t="s">
        <v>76</v>
      </c>
      <c r="E208" s="40">
        <v>0.13437164939494417</v>
      </c>
      <c r="F208" s="61">
        <v>1.3222170300462507E-2</v>
      </c>
      <c r="G208" s="61">
        <v>3.3377917709704136E-2</v>
      </c>
      <c r="H208" s="61">
        <v>6.0252247588692971E-2</v>
      </c>
      <c r="I208" s="61">
        <v>8.7126577467681793E-2</v>
      </c>
      <c r="J208" s="61">
        <v>0.11400090734667064</v>
      </c>
      <c r="K208" s="61">
        <v>0.14087523722565948</v>
      </c>
    </row>
    <row r="209" spans="2:11" x14ac:dyDescent="0.3">
      <c r="B209" s="33" t="s">
        <v>58</v>
      </c>
      <c r="C209" s="34" t="str">
        <f>C185</f>
        <v>Mongolia</v>
      </c>
      <c r="D209" s="39" t="s">
        <v>74</v>
      </c>
      <c r="E209" s="40">
        <v>0.48470339641190596</v>
      </c>
      <c r="F209" s="61">
        <v>4.769481420693155E-2</v>
      </c>
      <c r="G209" s="61">
        <v>0.12040032366871745</v>
      </c>
      <c r="H209" s="61">
        <v>0.21734100295109865</v>
      </c>
      <c r="I209" s="61">
        <v>0.3142816822334798</v>
      </c>
      <c r="J209" s="61">
        <v>0.41122236151586106</v>
      </c>
      <c r="K209" s="61">
        <v>0.50816304079824226</v>
      </c>
    </row>
    <row r="210" spans="2:11" x14ac:dyDescent="0.3">
      <c r="B210" s="35"/>
      <c r="C210" s="36"/>
      <c r="D210" s="39" t="s">
        <v>75</v>
      </c>
      <c r="E210" s="40">
        <v>0.47911758783385527</v>
      </c>
      <c r="F210" s="61">
        <v>4.7145170642851363E-2</v>
      </c>
      <c r="G210" s="61">
        <v>0.11901280881792965</v>
      </c>
      <c r="H210" s="61">
        <v>0.21483632638470071</v>
      </c>
      <c r="I210" s="61">
        <v>0.31065984395147173</v>
      </c>
      <c r="J210" s="61">
        <v>0.40648336151824283</v>
      </c>
      <c r="K210" s="61">
        <v>0.50230687908501381</v>
      </c>
    </row>
    <row r="211" spans="2:11" x14ac:dyDescent="0.3">
      <c r="B211" s="35"/>
      <c r="C211" s="36"/>
      <c r="D211" s="39" t="s">
        <v>76</v>
      </c>
      <c r="E211" s="40">
        <v>0.48489524195797518</v>
      </c>
      <c r="F211" s="61">
        <v>4.7713691808664756E-2</v>
      </c>
      <c r="G211" s="61">
        <v>0.12044797810236103</v>
      </c>
      <c r="H211" s="61">
        <v>0.21742702649395607</v>
      </c>
      <c r="I211" s="61">
        <v>0.31440607488555111</v>
      </c>
      <c r="J211" s="61">
        <v>0.41138512327714616</v>
      </c>
      <c r="K211" s="61">
        <v>0.50836417166874115</v>
      </c>
    </row>
    <row r="212" spans="2:11" x14ac:dyDescent="0.3">
      <c r="B212" s="33" t="s">
        <v>60</v>
      </c>
      <c r="C212" s="34" t="str">
        <f>C185</f>
        <v>Mongolia</v>
      </c>
      <c r="D212" s="39" t="s">
        <v>74</v>
      </c>
      <c r="E212" s="65">
        <v>1</v>
      </c>
      <c r="F212" s="61">
        <v>9.8400000000000001E-2</v>
      </c>
      <c r="G212" s="61">
        <v>0.24840000000000001</v>
      </c>
      <c r="H212" s="61">
        <v>0.44840000000000002</v>
      </c>
      <c r="I212" s="61">
        <v>0.64839999999999998</v>
      </c>
      <c r="J212" s="61">
        <v>0.84840000000000004</v>
      </c>
      <c r="K212" s="61">
        <v>1.0484</v>
      </c>
    </row>
    <row r="213" spans="2:11" x14ac:dyDescent="0.3">
      <c r="B213" s="35"/>
      <c r="C213" s="36"/>
      <c r="D213" s="39" t="s">
        <v>75</v>
      </c>
      <c r="E213" s="65">
        <v>1</v>
      </c>
      <c r="F213" s="61">
        <v>9.8400000000000001E-2</v>
      </c>
      <c r="G213" s="61">
        <v>0.24840000000000001</v>
      </c>
      <c r="H213" s="61">
        <v>0.44840000000000002</v>
      </c>
      <c r="I213" s="61">
        <v>0.64839999999999998</v>
      </c>
      <c r="J213" s="61">
        <v>0.84840000000000004</v>
      </c>
      <c r="K213" s="61">
        <v>1.0484</v>
      </c>
    </row>
    <row r="214" spans="2:11" ht="15" thickBot="1" x14ac:dyDescent="0.35">
      <c r="B214" s="43"/>
      <c r="C214" s="44"/>
      <c r="D214" s="66" t="s">
        <v>76</v>
      </c>
      <c r="E214" s="67">
        <v>1</v>
      </c>
      <c r="F214" s="68">
        <v>9.8400000000000001E-2</v>
      </c>
      <c r="G214" s="68">
        <v>0.24840000000000001</v>
      </c>
      <c r="H214" s="68">
        <v>0.44840000000000002</v>
      </c>
      <c r="I214" s="68">
        <v>0.64839999999999998</v>
      </c>
      <c r="J214" s="68">
        <v>0.84840000000000004</v>
      </c>
      <c r="K214" s="68">
        <v>1.0484</v>
      </c>
    </row>
    <row r="215" spans="2:11" x14ac:dyDescent="0.3">
      <c r="B215" s="45" t="s">
        <v>13</v>
      </c>
      <c r="C215" s="46" t="s">
        <v>99</v>
      </c>
      <c r="D215" s="69" t="s">
        <v>74</v>
      </c>
      <c r="E215" s="70">
        <v>8.1224442816567397E-4</v>
      </c>
      <c r="F215" s="71">
        <v>7.9924851731502319E-5</v>
      </c>
      <c r="G215" s="71">
        <v>2.0176151595635342E-4</v>
      </c>
      <c r="H215" s="71">
        <v>3.6421040158948824E-4</v>
      </c>
      <c r="I215" s="71">
        <v>5.2665928722262303E-4</v>
      </c>
      <c r="J215" s="71">
        <v>6.8910817285575783E-4</v>
      </c>
      <c r="K215" s="71">
        <v>8.5155705848889262E-4</v>
      </c>
    </row>
    <row r="216" spans="2:11" x14ac:dyDescent="0.3">
      <c r="B216" s="47"/>
      <c r="C216" s="48"/>
      <c r="D216" s="51" t="s">
        <v>75</v>
      </c>
      <c r="E216" s="52">
        <v>2.1128924525376881E-5</v>
      </c>
      <c r="F216" s="72">
        <v>2.0790861732970852E-6</v>
      </c>
      <c r="G216" s="72">
        <v>5.2484248521036171E-6</v>
      </c>
      <c r="H216" s="72">
        <v>9.4742097571789937E-6</v>
      </c>
      <c r="I216" s="72">
        <v>1.369999466225437E-5</v>
      </c>
      <c r="J216" s="72">
        <v>1.7925779567329745E-5</v>
      </c>
      <c r="K216" s="72">
        <v>2.2151564472405123E-5</v>
      </c>
    </row>
    <row r="217" spans="2:11" x14ac:dyDescent="0.3">
      <c r="B217" s="47"/>
      <c r="C217" s="48"/>
      <c r="D217" s="51" t="s">
        <v>76</v>
      </c>
      <c r="E217" s="52">
        <v>8.4701565618114838E-4</v>
      </c>
      <c r="F217" s="72">
        <v>8.3346340568225E-5</v>
      </c>
      <c r="G217" s="72">
        <v>2.1039868899539726E-4</v>
      </c>
      <c r="H217" s="72">
        <v>3.7980182023162695E-4</v>
      </c>
      <c r="I217" s="72">
        <v>5.4920495146785662E-4</v>
      </c>
      <c r="J217" s="72">
        <v>7.1860808270408634E-4</v>
      </c>
      <c r="K217" s="72">
        <v>8.8801121394031595E-4</v>
      </c>
    </row>
    <row r="218" spans="2:11" x14ac:dyDescent="0.3">
      <c r="B218" s="49" t="s">
        <v>19</v>
      </c>
      <c r="C218" s="50" t="str">
        <f>C215</f>
        <v>Sri Lanka</v>
      </c>
      <c r="D218" s="51" t="s">
        <v>74</v>
      </c>
      <c r="E218" s="52">
        <v>5.4731075481831704E-3</v>
      </c>
      <c r="F218" s="72">
        <v>5.3855378274122393E-4</v>
      </c>
      <c r="G218" s="72">
        <v>1.3595199149686996E-3</v>
      </c>
      <c r="H218" s="72">
        <v>2.4541414246053335E-3</v>
      </c>
      <c r="I218" s="72">
        <v>3.5487629342419677E-3</v>
      </c>
      <c r="J218" s="72">
        <v>4.6433844438786018E-3</v>
      </c>
      <c r="K218" s="72">
        <v>5.7380059535152355E-3</v>
      </c>
    </row>
    <row r="219" spans="2:11" x14ac:dyDescent="0.3">
      <c r="B219" s="47"/>
      <c r="C219" s="47"/>
      <c r="D219" s="73" t="s">
        <v>75</v>
      </c>
      <c r="E219" s="52">
        <v>3.8047239808849313E-4</v>
      </c>
      <c r="F219" s="72">
        <v>3.7438483971907726E-5</v>
      </c>
      <c r="G219" s="72">
        <v>9.4509343685181699E-5</v>
      </c>
      <c r="H219" s="72">
        <v>1.7060382330288032E-4</v>
      </c>
      <c r="I219" s="72">
        <v>2.4669830292057892E-4</v>
      </c>
      <c r="J219" s="72">
        <v>3.2279278253827758E-4</v>
      </c>
      <c r="K219" s="72">
        <v>3.9888726215597619E-4</v>
      </c>
    </row>
    <row r="220" spans="2:11" x14ac:dyDescent="0.3">
      <c r="B220" s="47"/>
      <c r="C220" s="48"/>
      <c r="D220" s="51" t="s">
        <v>76</v>
      </c>
      <c r="E220" s="52">
        <v>5.6418836747309103E-3</v>
      </c>
      <c r="F220" s="72">
        <v>5.5516135359352163E-4</v>
      </c>
      <c r="G220" s="72">
        <v>1.4014439048031582E-3</v>
      </c>
      <c r="H220" s="72">
        <v>2.5298206397493402E-3</v>
      </c>
      <c r="I220" s="72">
        <v>3.6581973746955222E-3</v>
      </c>
      <c r="J220" s="72">
        <v>4.7865741096417046E-3</v>
      </c>
      <c r="K220" s="72">
        <v>5.9149508445878862E-3</v>
      </c>
    </row>
    <row r="221" spans="2:11" x14ac:dyDescent="0.3">
      <c r="B221" s="53" t="s">
        <v>24</v>
      </c>
      <c r="C221" s="54" t="str">
        <f>C215</f>
        <v>Sri Lanka</v>
      </c>
      <c r="D221" s="51" t="s">
        <v>74</v>
      </c>
      <c r="E221" s="52">
        <v>5.5480356329109803E-3</v>
      </c>
      <c r="F221" s="72">
        <v>5.4592670627844043E-4</v>
      </c>
      <c r="G221" s="72">
        <v>1.3781320512150875E-3</v>
      </c>
      <c r="H221" s="72">
        <v>2.4877391777972835E-3</v>
      </c>
      <c r="I221" s="72">
        <v>3.5973463043794795E-3</v>
      </c>
      <c r="J221" s="72">
        <v>4.7069534309616759E-3</v>
      </c>
      <c r="K221" s="72">
        <v>5.8165605575438714E-3</v>
      </c>
    </row>
    <row r="222" spans="2:11" x14ac:dyDescent="0.3">
      <c r="B222" s="47"/>
      <c r="C222" s="48"/>
      <c r="D222" s="51" t="s">
        <v>75</v>
      </c>
      <c r="E222" s="52">
        <v>3.8841807041870008E-4</v>
      </c>
      <c r="F222" s="72">
        <v>3.8220338129200092E-5</v>
      </c>
      <c r="G222" s="72">
        <v>9.6483048692005104E-5</v>
      </c>
      <c r="H222" s="72">
        <v>1.7416666277574513E-4</v>
      </c>
      <c r="I222" s="72">
        <v>2.5185027685948512E-4</v>
      </c>
      <c r="J222" s="72">
        <v>3.2953389094322514E-4</v>
      </c>
      <c r="K222" s="72">
        <v>4.0721750502696515E-4</v>
      </c>
    </row>
    <row r="223" spans="2:11" x14ac:dyDescent="0.3">
      <c r="B223" s="47"/>
      <c r="C223" s="48"/>
      <c r="D223" s="51" t="s">
        <v>76</v>
      </c>
      <c r="E223" s="52">
        <v>5.7186469945772339E-3</v>
      </c>
      <c r="F223" s="72">
        <v>5.6271486426639984E-4</v>
      </c>
      <c r="G223" s="72">
        <v>1.4205119134529849E-3</v>
      </c>
      <c r="H223" s="72">
        <v>2.564241312368432E-3</v>
      </c>
      <c r="I223" s="72">
        <v>3.7079707112838783E-3</v>
      </c>
      <c r="J223" s="72">
        <v>4.8517001101993258E-3</v>
      </c>
      <c r="K223" s="72">
        <v>5.9954295091147721E-3</v>
      </c>
    </row>
    <row r="224" spans="2:11" x14ac:dyDescent="0.3">
      <c r="B224" s="53" t="s">
        <v>30</v>
      </c>
      <c r="C224" s="54" t="str">
        <f>C215</f>
        <v>Sri Lanka</v>
      </c>
      <c r="D224" s="51" t="s">
        <v>74</v>
      </c>
      <c r="E224" s="52">
        <v>1.0766126645666568E-2</v>
      </c>
      <c r="F224" s="72">
        <v>1.0593868619335903E-3</v>
      </c>
      <c r="G224" s="72">
        <v>2.6743058587835756E-3</v>
      </c>
      <c r="H224" s="72">
        <v>4.827531187916889E-3</v>
      </c>
      <c r="I224" s="72">
        <v>6.9807565170502024E-3</v>
      </c>
      <c r="J224" s="72">
        <v>9.1339818461835167E-3</v>
      </c>
      <c r="K224" s="72">
        <v>1.1287207175316829E-2</v>
      </c>
    </row>
    <row r="225" spans="2:11" x14ac:dyDescent="0.3">
      <c r="B225" s="47"/>
      <c r="C225" s="48"/>
      <c r="D225" s="51" t="s">
        <v>75</v>
      </c>
      <c r="E225" s="52">
        <v>1.0664025749387888E-3</v>
      </c>
      <c r="F225" s="72">
        <v>1.0493401337397682E-4</v>
      </c>
      <c r="G225" s="72">
        <v>2.6489439961479514E-4</v>
      </c>
      <c r="H225" s="72">
        <v>4.7817491460255292E-4</v>
      </c>
      <c r="I225" s="72">
        <v>6.9145542959031059E-4</v>
      </c>
      <c r="J225" s="72">
        <v>9.0473594457806848E-4</v>
      </c>
      <c r="K225" s="72">
        <v>1.1180164595658263E-3</v>
      </c>
    </row>
    <row r="226" spans="2:11" x14ac:dyDescent="0.3">
      <c r="B226" s="55"/>
      <c r="C226" s="56"/>
      <c r="D226" s="51" t="s">
        <v>76</v>
      </c>
      <c r="E226" s="52">
        <v>1.105198309146674E-2</v>
      </c>
      <c r="F226" s="72">
        <v>1.0875151362003273E-3</v>
      </c>
      <c r="G226" s="72">
        <v>2.7453125999203384E-3</v>
      </c>
      <c r="H226" s="72">
        <v>4.9557092182136867E-3</v>
      </c>
      <c r="I226" s="72">
        <v>7.1661058365070337E-3</v>
      </c>
      <c r="J226" s="72">
        <v>9.3765024548003832E-3</v>
      </c>
      <c r="K226" s="72">
        <v>1.158689907309373E-2</v>
      </c>
    </row>
    <row r="227" spans="2:11" x14ac:dyDescent="0.3">
      <c r="B227" s="53" t="s">
        <v>46</v>
      </c>
      <c r="C227" s="54" t="str">
        <f>C215</f>
        <v>Sri Lanka</v>
      </c>
      <c r="D227" s="51" t="s">
        <v>74</v>
      </c>
      <c r="E227" s="52">
        <v>2.15197084574811E-2</v>
      </c>
      <c r="F227" s="72">
        <v>2.1175393122161404E-3</v>
      </c>
      <c r="G227" s="72">
        <v>5.3454955808383059E-3</v>
      </c>
      <c r="H227" s="72">
        <v>9.649437272334525E-3</v>
      </c>
      <c r="I227" s="72">
        <v>1.3953378963830745E-2</v>
      </c>
      <c r="J227" s="72">
        <v>1.8257320655326967E-2</v>
      </c>
      <c r="K227" s="72">
        <v>2.2561262346823187E-2</v>
      </c>
    </row>
    <row r="228" spans="2:11" x14ac:dyDescent="0.3">
      <c r="B228" s="47"/>
      <c r="C228" s="48"/>
      <c r="D228" s="51" t="s">
        <v>75</v>
      </c>
      <c r="E228" s="52">
        <v>3.0848658537122055E-3</v>
      </c>
      <c r="F228" s="72">
        <v>3.0355080000528102E-4</v>
      </c>
      <c r="G228" s="72">
        <v>7.6628067806211193E-4</v>
      </c>
      <c r="H228" s="72">
        <v>1.383253848804553E-3</v>
      </c>
      <c r="I228" s="72">
        <v>2.0002270195469941E-3</v>
      </c>
      <c r="J228" s="72">
        <v>2.6172001902894353E-3</v>
      </c>
      <c r="K228" s="72">
        <v>3.2341733610318762E-3</v>
      </c>
    </row>
    <row r="229" spans="2:11" x14ac:dyDescent="0.3">
      <c r="B229" s="47"/>
      <c r="C229" s="48"/>
      <c r="D229" s="51" t="s">
        <v>76</v>
      </c>
      <c r="E229" s="52">
        <v>2.1994985405504569E-2</v>
      </c>
      <c r="F229" s="72">
        <v>2.1643065639016497E-3</v>
      </c>
      <c r="G229" s="72">
        <v>5.4635543747273349E-3</v>
      </c>
      <c r="H229" s="72">
        <v>9.8625514558282491E-3</v>
      </c>
      <c r="I229" s="72">
        <v>1.4261548536929161E-2</v>
      </c>
      <c r="J229" s="72">
        <v>1.8660545618030076E-2</v>
      </c>
      <c r="K229" s="72">
        <v>2.3059542699130992E-2</v>
      </c>
    </row>
    <row r="230" spans="2:11" x14ac:dyDescent="0.3">
      <c r="B230" s="53" t="s">
        <v>50</v>
      </c>
      <c r="C230" s="54" t="str">
        <f>C215</f>
        <v>Sri Lanka</v>
      </c>
      <c r="D230" s="51" t="s">
        <v>74</v>
      </c>
      <c r="E230" s="52">
        <v>4.3621629953537334E-2</v>
      </c>
      <c r="F230" s="72">
        <v>4.2923683874280735E-3</v>
      </c>
      <c r="G230" s="72">
        <v>1.0835612880458674E-2</v>
      </c>
      <c r="H230" s="72">
        <v>1.9559938871166142E-2</v>
      </c>
      <c r="I230" s="72">
        <v>2.8284264861873607E-2</v>
      </c>
      <c r="J230" s="72">
        <v>3.7008590852581076E-2</v>
      </c>
      <c r="K230" s="72">
        <v>4.5732916843288542E-2</v>
      </c>
    </row>
    <row r="231" spans="2:11" x14ac:dyDescent="0.3">
      <c r="B231" s="47"/>
      <c r="C231" s="48"/>
      <c r="D231" s="51" t="s">
        <v>75</v>
      </c>
      <c r="E231" s="52">
        <v>9.244504304304962E-3</v>
      </c>
      <c r="F231" s="72">
        <v>9.0965922354360827E-4</v>
      </c>
      <c r="G231" s="72">
        <v>2.2963348691893526E-3</v>
      </c>
      <c r="H231" s="72">
        <v>4.1452357300503454E-3</v>
      </c>
      <c r="I231" s="72">
        <v>5.994136590911337E-3</v>
      </c>
      <c r="J231" s="72">
        <v>7.8430374517723302E-3</v>
      </c>
      <c r="K231" s="72">
        <v>9.6919383126333226E-3</v>
      </c>
    </row>
    <row r="232" spans="2:11" x14ac:dyDescent="0.3">
      <c r="B232" s="47"/>
      <c r="C232" s="48"/>
      <c r="D232" s="51" t="s">
        <v>76</v>
      </c>
      <c r="E232" s="52">
        <v>4.437998594436178E-2</v>
      </c>
      <c r="F232" s="72">
        <v>4.3669906169251996E-3</v>
      </c>
      <c r="G232" s="72">
        <v>1.1023988508579467E-2</v>
      </c>
      <c r="H232" s="72">
        <v>1.9899985697451824E-2</v>
      </c>
      <c r="I232" s="72">
        <v>2.8775982886324176E-2</v>
      </c>
      <c r="J232" s="72">
        <v>3.7651980075196538E-2</v>
      </c>
      <c r="K232" s="72">
        <v>4.652797726406889E-2</v>
      </c>
    </row>
    <row r="233" spans="2:11" x14ac:dyDescent="0.3">
      <c r="B233" s="53" t="s">
        <v>53</v>
      </c>
      <c r="C233" s="54" t="str">
        <f>C215</f>
        <v>Sri Lanka</v>
      </c>
      <c r="D233" s="51" t="s">
        <v>74</v>
      </c>
      <c r="E233" s="52">
        <v>7.3378803303055684E-2</v>
      </c>
      <c r="F233" s="72">
        <v>7.2204742450206793E-3</v>
      </c>
      <c r="G233" s="72">
        <v>1.8227294740479034E-2</v>
      </c>
      <c r="H233" s="72">
        <v>3.2903055401090169E-2</v>
      </c>
      <c r="I233" s="72">
        <v>4.7578816061701307E-2</v>
      </c>
      <c r="J233" s="72">
        <v>6.2254576722312445E-2</v>
      </c>
      <c r="K233" s="72">
        <v>7.6930337382923583E-2</v>
      </c>
    </row>
    <row r="234" spans="2:11" x14ac:dyDescent="0.3">
      <c r="B234" s="47"/>
      <c r="C234" s="48"/>
      <c r="D234" s="51" t="s">
        <v>75</v>
      </c>
      <c r="E234" s="52">
        <v>2.1051112504408616E-2</v>
      </c>
      <c r="F234" s="72">
        <v>2.0714294704338079E-3</v>
      </c>
      <c r="G234" s="72">
        <v>5.2290963460951004E-3</v>
      </c>
      <c r="H234" s="72">
        <v>9.4393188469768241E-3</v>
      </c>
      <c r="I234" s="72">
        <v>1.3649541347858545E-2</v>
      </c>
      <c r="J234" s="72">
        <v>1.785976384874027E-2</v>
      </c>
      <c r="K234" s="72">
        <v>2.2069986349621994E-2</v>
      </c>
    </row>
    <row r="235" spans="2:11" x14ac:dyDescent="0.3">
      <c r="B235" s="47"/>
      <c r="C235" s="48"/>
      <c r="D235" s="51" t="s">
        <v>76</v>
      </c>
      <c r="E235" s="52">
        <v>7.439047002804354E-2</v>
      </c>
      <c r="F235" s="72">
        <v>7.3200222507594842E-3</v>
      </c>
      <c r="G235" s="72">
        <v>1.8478592754966015E-2</v>
      </c>
      <c r="H235" s="72">
        <v>3.3356686760574725E-2</v>
      </c>
      <c r="I235" s="72">
        <v>4.8234780766183427E-2</v>
      </c>
      <c r="J235" s="72">
        <v>6.3112874771792143E-2</v>
      </c>
      <c r="K235" s="72">
        <v>7.7990968777400846E-2</v>
      </c>
    </row>
    <row r="236" spans="2:11" x14ac:dyDescent="0.3">
      <c r="B236" s="53" t="s">
        <v>55</v>
      </c>
      <c r="C236" s="54" t="str">
        <f>C215</f>
        <v>Sri Lanka</v>
      </c>
      <c r="D236" s="51" t="s">
        <v>74</v>
      </c>
      <c r="E236" s="74">
        <v>0.15938748615279325</v>
      </c>
      <c r="F236" s="72">
        <v>1.5683728637434856E-2</v>
      </c>
      <c r="G236" s="72">
        <v>3.9591851560353844E-2</v>
      </c>
      <c r="H236" s="72">
        <v>7.146934879091249E-2</v>
      </c>
      <c r="I236" s="72">
        <v>0.10334684602147114</v>
      </c>
      <c r="J236" s="72">
        <v>0.13522434325202978</v>
      </c>
      <c r="K236" s="72">
        <v>0.16710184048258844</v>
      </c>
    </row>
    <row r="237" spans="2:11" x14ac:dyDescent="0.3">
      <c r="B237" s="47"/>
      <c r="C237" s="48"/>
      <c r="D237" s="51" t="s">
        <v>75</v>
      </c>
      <c r="E237" s="74">
        <v>7.4607728372338103E-2</v>
      </c>
      <c r="F237" s="72">
        <v>7.3414004718380691E-3</v>
      </c>
      <c r="G237" s="72">
        <v>1.8532559727688785E-2</v>
      </c>
      <c r="H237" s="72">
        <v>3.345410540215641E-2</v>
      </c>
      <c r="I237" s="72">
        <v>4.8375651076624025E-2</v>
      </c>
      <c r="J237" s="72">
        <v>6.3297196751091647E-2</v>
      </c>
      <c r="K237" s="72">
        <v>7.8218742425559262E-2</v>
      </c>
    </row>
    <row r="238" spans="2:11" x14ac:dyDescent="0.3">
      <c r="B238" s="47"/>
      <c r="C238" s="48"/>
      <c r="D238" s="51" t="s">
        <v>76</v>
      </c>
      <c r="E238" s="74">
        <v>0.1606876870472429</v>
      </c>
      <c r="F238" s="72">
        <v>1.58116684054487E-2</v>
      </c>
      <c r="G238" s="72">
        <v>3.9914821462535138E-2</v>
      </c>
      <c r="H238" s="72">
        <v>7.2052358871983718E-2</v>
      </c>
      <c r="I238" s="72">
        <v>0.1041898962814323</v>
      </c>
      <c r="J238" s="72">
        <v>0.13632743369088088</v>
      </c>
      <c r="K238" s="72">
        <v>0.16846497110032946</v>
      </c>
    </row>
    <row r="239" spans="2:11" x14ac:dyDescent="0.3">
      <c r="B239" s="53" t="s">
        <v>58</v>
      </c>
      <c r="C239" s="54" t="str">
        <f>C215</f>
        <v>Sri Lanka</v>
      </c>
      <c r="D239" s="51" t="s">
        <v>74</v>
      </c>
      <c r="E239" s="74">
        <v>0.48652013049882048</v>
      </c>
      <c r="F239" s="72">
        <v>4.7873580841083938E-2</v>
      </c>
      <c r="G239" s="72">
        <v>0.12085160041590701</v>
      </c>
      <c r="H239" s="72">
        <v>0.21815562651567111</v>
      </c>
      <c r="I239" s="72">
        <v>0.31545965261543518</v>
      </c>
      <c r="J239" s="72">
        <v>0.41276367871519931</v>
      </c>
      <c r="K239" s="72">
        <v>0.51006770481496344</v>
      </c>
    </row>
    <row r="240" spans="2:11" x14ac:dyDescent="0.3">
      <c r="B240" s="47"/>
      <c r="C240" s="48"/>
      <c r="D240" s="51" t="s">
        <v>75</v>
      </c>
      <c r="E240" s="74">
        <v>0.47958736201059143</v>
      </c>
      <c r="F240" s="72">
        <v>4.7191396421842197E-2</v>
      </c>
      <c r="G240" s="72">
        <v>0.11912950072343091</v>
      </c>
      <c r="H240" s="72">
        <v>0.21504697312554921</v>
      </c>
      <c r="I240" s="72">
        <v>0.3109644455276675</v>
      </c>
      <c r="J240" s="72">
        <v>0.40688191792978579</v>
      </c>
      <c r="K240" s="72">
        <v>0.50279939033190402</v>
      </c>
    </row>
    <row r="241" spans="2:11" x14ac:dyDescent="0.3">
      <c r="B241" s="47"/>
      <c r="C241" s="48"/>
      <c r="D241" s="51" t="s">
        <v>76</v>
      </c>
      <c r="E241" s="74">
        <v>0.48659832000854236</v>
      </c>
      <c r="F241" s="72">
        <v>4.7881274688840569E-2</v>
      </c>
      <c r="G241" s="72">
        <v>0.12087102269012193</v>
      </c>
      <c r="H241" s="72">
        <v>0.21819068669183039</v>
      </c>
      <c r="I241" s="72">
        <v>0.31551035069353883</v>
      </c>
      <c r="J241" s="72">
        <v>0.41283001469524738</v>
      </c>
      <c r="K241" s="72">
        <v>0.51014967869695582</v>
      </c>
    </row>
    <row r="242" spans="2:11" x14ac:dyDescent="0.3">
      <c r="B242" s="53" t="s">
        <v>60</v>
      </c>
      <c r="C242" s="54" t="str">
        <f>C215</f>
        <v>Sri Lanka</v>
      </c>
      <c r="D242" s="51" t="s">
        <v>74</v>
      </c>
      <c r="E242" s="75">
        <v>1</v>
      </c>
      <c r="F242" s="72">
        <v>9.8400000000000001E-2</v>
      </c>
      <c r="G242" s="72">
        <v>0.24840000000000001</v>
      </c>
      <c r="H242" s="72">
        <v>0.44840000000000002</v>
      </c>
      <c r="I242" s="72">
        <v>0.64839999999999998</v>
      </c>
      <c r="J242" s="72">
        <v>0.84840000000000004</v>
      </c>
      <c r="K242" s="72">
        <v>1.0484</v>
      </c>
    </row>
    <row r="243" spans="2:11" x14ac:dyDescent="0.3">
      <c r="B243" s="47"/>
      <c r="C243" s="48"/>
      <c r="D243" s="51" t="s">
        <v>75</v>
      </c>
      <c r="E243" s="75">
        <v>1</v>
      </c>
      <c r="F243" s="72">
        <v>9.8400000000000001E-2</v>
      </c>
      <c r="G243" s="72">
        <v>0.24840000000000001</v>
      </c>
      <c r="H243" s="72">
        <v>0.44840000000000002</v>
      </c>
      <c r="I243" s="72">
        <v>0.64839999999999998</v>
      </c>
      <c r="J243" s="72">
        <v>0.84840000000000004</v>
      </c>
      <c r="K243" s="72">
        <v>1.0484</v>
      </c>
    </row>
    <row r="244" spans="2:11" ht="15" thickBot="1" x14ac:dyDescent="0.35">
      <c r="B244" s="57"/>
      <c r="C244" s="58"/>
      <c r="D244" s="76" t="s">
        <v>76</v>
      </c>
      <c r="E244" s="77">
        <v>1</v>
      </c>
      <c r="F244" s="78">
        <v>9.8400000000000001E-2</v>
      </c>
      <c r="G244" s="78">
        <v>0.24840000000000001</v>
      </c>
      <c r="H244" s="78">
        <v>0.44840000000000002</v>
      </c>
      <c r="I244" s="78">
        <v>0.64839999999999998</v>
      </c>
      <c r="J244" s="78">
        <v>0.84840000000000004</v>
      </c>
      <c r="K244" s="78">
        <v>1.0484</v>
      </c>
    </row>
    <row r="245" spans="2:11" x14ac:dyDescent="0.3">
      <c r="B245" s="33" t="s">
        <v>13</v>
      </c>
      <c r="C245" s="34" t="s">
        <v>100</v>
      </c>
      <c r="D245" s="39" t="s">
        <v>74</v>
      </c>
      <c r="E245" s="63">
        <v>1.4769601736060647E-3</v>
      </c>
      <c r="F245" s="61">
        <v>1.4533288108283676E-4</v>
      </c>
      <c r="G245" s="61">
        <v>3.6687690712374648E-4</v>
      </c>
      <c r="H245" s="61">
        <v>6.6226894184495948E-4</v>
      </c>
      <c r="I245" s="61">
        <v>9.5766097656617226E-4</v>
      </c>
      <c r="J245" s="61">
        <v>1.2530530112873854E-3</v>
      </c>
      <c r="K245" s="61">
        <v>1.5484450460085983E-3</v>
      </c>
    </row>
    <row r="246" spans="2:11" x14ac:dyDescent="0.3">
      <c r="B246" s="35"/>
      <c r="C246" s="36"/>
      <c r="D246" s="39" t="s">
        <v>75</v>
      </c>
      <c r="E246" s="63">
        <v>7.5609245072525344E-5</v>
      </c>
      <c r="F246" s="61">
        <v>7.439949715136494E-6</v>
      </c>
      <c r="G246" s="61">
        <v>1.8781336476015296E-5</v>
      </c>
      <c r="H246" s="61">
        <v>3.3903185490520368E-5</v>
      </c>
      <c r="I246" s="61">
        <v>4.902503450502543E-5</v>
      </c>
      <c r="J246" s="61">
        <v>6.4146883519530505E-5</v>
      </c>
      <c r="K246" s="61">
        <v>7.9268732534035574E-5</v>
      </c>
    </row>
    <row r="247" spans="2:11" x14ac:dyDescent="0.3">
      <c r="B247" s="35"/>
      <c r="C247" s="36"/>
      <c r="D247" s="39" t="s">
        <v>76</v>
      </c>
      <c r="E247" s="63">
        <v>1.5698548695278597E-3</v>
      </c>
      <c r="F247" s="61">
        <v>1.544737191615414E-4</v>
      </c>
      <c r="G247" s="61">
        <v>3.8995194959072038E-4</v>
      </c>
      <c r="H247" s="61">
        <v>7.039229234962923E-4</v>
      </c>
      <c r="I247" s="61">
        <v>1.0178938974018642E-3</v>
      </c>
      <c r="J247" s="61">
        <v>1.3318648713074362E-3</v>
      </c>
      <c r="K247" s="61">
        <v>1.6458358452130081E-3</v>
      </c>
    </row>
    <row r="248" spans="2:11" x14ac:dyDescent="0.3">
      <c r="B248" s="37" t="s">
        <v>19</v>
      </c>
      <c r="C248" s="38" t="str">
        <f>C245</f>
        <v>Sudan</v>
      </c>
      <c r="D248" s="39" t="s">
        <v>74</v>
      </c>
      <c r="E248" s="40">
        <v>8.4551790999036792E-3</v>
      </c>
      <c r="F248" s="61">
        <v>8.3198962343052204E-4</v>
      </c>
      <c r="G248" s="61">
        <v>2.100266488416074E-3</v>
      </c>
      <c r="H248" s="61">
        <v>3.7913023083968101E-3</v>
      </c>
      <c r="I248" s="61">
        <v>5.4823381283775454E-3</v>
      </c>
      <c r="J248" s="61">
        <v>7.1733739483582819E-3</v>
      </c>
      <c r="K248" s="61">
        <v>8.8644097683390176E-3</v>
      </c>
    </row>
    <row r="249" spans="2:11" x14ac:dyDescent="0.3">
      <c r="B249" s="35"/>
      <c r="C249" s="35"/>
      <c r="D249" s="64" t="s">
        <v>75</v>
      </c>
      <c r="E249" s="40">
        <v>9.6698181892458733E-4</v>
      </c>
      <c r="F249" s="61">
        <v>9.5151010982179397E-5</v>
      </c>
      <c r="G249" s="61">
        <v>2.401982838208675E-4</v>
      </c>
      <c r="H249" s="61">
        <v>4.3359464760578495E-4</v>
      </c>
      <c r="I249" s="61">
        <v>6.2699101139070243E-4</v>
      </c>
      <c r="J249" s="61">
        <v>8.2038737517561996E-4</v>
      </c>
      <c r="K249" s="61">
        <v>1.0137837389605374E-3</v>
      </c>
    </row>
    <row r="250" spans="2:11" x14ac:dyDescent="0.3">
      <c r="B250" s="35"/>
      <c r="C250" s="36"/>
      <c r="D250" s="39" t="s">
        <v>76</v>
      </c>
      <c r="E250" s="40">
        <v>8.8381909256896232E-3</v>
      </c>
      <c r="F250" s="61">
        <v>8.6967798708785895E-4</v>
      </c>
      <c r="G250" s="61">
        <v>2.1954066259413023E-3</v>
      </c>
      <c r="H250" s="61">
        <v>3.963044811079227E-3</v>
      </c>
      <c r="I250" s="61">
        <v>5.7306829962171513E-3</v>
      </c>
      <c r="J250" s="61">
        <v>7.4983211813550764E-3</v>
      </c>
      <c r="K250" s="61">
        <v>9.2659593664930016E-3</v>
      </c>
    </row>
    <row r="251" spans="2:11" x14ac:dyDescent="0.3">
      <c r="B251" s="33" t="s">
        <v>24</v>
      </c>
      <c r="C251" s="34" t="str">
        <f>C245</f>
        <v>Sudan</v>
      </c>
      <c r="D251" s="39" t="s">
        <v>74</v>
      </c>
      <c r="E251" s="40">
        <v>8.5608197651493474E-3</v>
      </c>
      <c r="F251" s="61">
        <v>8.4238466489069584E-4</v>
      </c>
      <c r="G251" s="61">
        <v>2.1265076296630978E-3</v>
      </c>
      <c r="H251" s="61">
        <v>3.8386715826929678E-3</v>
      </c>
      <c r="I251" s="61">
        <v>5.5508355357228364E-3</v>
      </c>
      <c r="J251" s="61">
        <v>7.2629994887527067E-3</v>
      </c>
      <c r="K251" s="61">
        <v>8.9751634417825753E-3</v>
      </c>
    </row>
    <row r="252" spans="2:11" x14ac:dyDescent="0.3">
      <c r="B252" s="35"/>
      <c r="C252" s="36"/>
      <c r="D252" s="39" t="s">
        <v>75</v>
      </c>
      <c r="E252" s="40">
        <v>9.8475501903612589E-4</v>
      </c>
      <c r="F252" s="61">
        <v>9.6899893873154784E-5</v>
      </c>
      <c r="G252" s="61">
        <v>2.4461314672857371E-4</v>
      </c>
      <c r="H252" s="61">
        <v>4.4156415053579886E-4</v>
      </c>
      <c r="I252" s="61">
        <v>6.3851515434302402E-4</v>
      </c>
      <c r="J252" s="61">
        <v>8.3546615815024928E-4</v>
      </c>
      <c r="K252" s="61">
        <v>1.0324171619574744E-3</v>
      </c>
    </row>
    <row r="253" spans="2:11" x14ac:dyDescent="0.3">
      <c r="B253" s="35"/>
      <c r="C253" s="36"/>
      <c r="D253" s="39" t="s">
        <v>76</v>
      </c>
      <c r="E253" s="40">
        <v>8.947533493445136E-3</v>
      </c>
      <c r="F253" s="61">
        <v>8.8043729575500141E-4</v>
      </c>
      <c r="G253" s="61">
        <v>2.2225673197717719E-3</v>
      </c>
      <c r="H253" s="61">
        <v>4.0120740184607989E-3</v>
      </c>
      <c r="I253" s="61">
        <v>5.8015807171498263E-3</v>
      </c>
      <c r="J253" s="61">
        <v>7.5910874158388536E-3</v>
      </c>
      <c r="K253" s="61">
        <v>9.380594114527881E-3</v>
      </c>
    </row>
    <row r="254" spans="2:11" x14ac:dyDescent="0.3">
      <c r="B254" s="33" t="s">
        <v>30</v>
      </c>
      <c r="C254" s="34" t="str">
        <f>C245</f>
        <v>Sudan</v>
      </c>
      <c r="D254" s="39" t="s">
        <v>74</v>
      </c>
      <c r="E254" s="40">
        <v>1.5674464658542185E-2</v>
      </c>
      <c r="F254" s="61">
        <v>1.5423673224005511E-3</v>
      </c>
      <c r="G254" s="61">
        <v>3.893537021181879E-3</v>
      </c>
      <c r="H254" s="61">
        <v>7.0284299528903162E-3</v>
      </c>
      <c r="I254" s="61">
        <v>1.0163322884598753E-2</v>
      </c>
      <c r="J254" s="61">
        <v>1.3298215816307191E-2</v>
      </c>
      <c r="K254" s="61">
        <v>1.6433108748015627E-2</v>
      </c>
    </row>
    <row r="255" spans="2:11" x14ac:dyDescent="0.3">
      <c r="B255" s="35"/>
      <c r="C255" s="36"/>
      <c r="D255" s="39" t="s">
        <v>75</v>
      </c>
      <c r="E255" s="40">
        <v>2.3971709425424847E-3</v>
      </c>
      <c r="F255" s="61">
        <v>2.3588162074618049E-4</v>
      </c>
      <c r="G255" s="61">
        <v>5.9545726212755325E-4</v>
      </c>
      <c r="H255" s="61">
        <v>1.0748914506360503E-3</v>
      </c>
      <c r="I255" s="61">
        <v>1.554325639144547E-3</v>
      </c>
      <c r="J255" s="61">
        <v>2.0337598276530442E-3</v>
      </c>
      <c r="K255" s="61">
        <v>2.5131940161615411E-3</v>
      </c>
    </row>
    <row r="256" spans="2:11" x14ac:dyDescent="0.3">
      <c r="B256" s="41"/>
      <c r="C256" s="42"/>
      <c r="D256" s="39" t="s">
        <v>76</v>
      </c>
      <c r="E256" s="40">
        <v>1.628509245129528E-2</v>
      </c>
      <c r="F256" s="61">
        <v>1.6024530972074556E-3</v>
      </c>
      <c r="G256" s="61">
        <v>4.0452169649017478E-3</v>
      </c>
      <c r="H256" s="61">
        <v>7.3022354551608038E-3</v>
      </c>
      <c r="I256" s="61">
        <v>1.055925394541986E-2</v>
      </c>
      <c r="J256" s="61">
        <v>1.3816272435678916E-2</v>
      </c>
      <c r="K256" s="61">
        <v>1.707329092593797E-2</v>
      </c>
    </row>
    <row r="257" spans="2:11" x14ac:dyDescent="0.3">
      <c r="B257" s="33" t="s">
        <v>46</v>
      </c>
      <c r="C257" s="34" t="str">
        <f>C245</f>
        <v>Sudan</v>
      </c>
      <c r="D257" s="39" t="s">
        <v>74</v>
      </c>
      <c r="E257" s="40">
        <v>2.9437675705884531E-2</v>
      </c>
      <c r="F257" s="61">
        <v>2.8966672894590378E-3</v>
      </c>
      <c r="G257" s="61">
        <v>7.3123186453417175E-3</v>
      </c>
      <c r="H257" s="61">
        <v>1.3199853786518624E-2</v>
      </c>
      <c r="I257" s="61">
        <v>1.9087388927695528E-2</v>
      </c>
      <c r="J257" s="61">
        <v>2.4974924068872438E-2</v>
      </c>
      <c r="K257" s="61">
        <v>3.0862459210049344E-2</v>
      </c>
    </row>
    <row r="258" spans="2:11" x14ac:dyDescent="0.3">
      <c r="B258" s="35"/>
      <c r="C258" s="36"/>
      <c r="D258" s="39" t="s">
        <v>75</v>
      </c>
      <c r="E258" s="40">
        <v>6.1031665601487747E-3</v>
      </c>
      <c r="F258" s="61">
        <v>6.0055158951863947E-4</v>
      </c>
      <c r="G258" s="61">
        <v>1.5160265735409558E-3</v>
      </c>
      <c r="H258" s="61">
        <v>2.7366598855707107E-3</v>
      </c>
      <c r="I258" s="61">
        <v>3.9572931976004653E-3</v>
      </c>
      <c r="J258" s="61">
        <v>5.1779265096302211E-3</v>
      </c>
      <c r="K258" s="61">
        <v>6.3985598216599751E-3</v>
      </c>
    </row>
    <row r="259" spans="2:11" x14ac:dyDescent="0.3">
      <c r="B259" s="35"/>
      <c r="C259" s="36"/>
      <c r="D259" s="39" t="s">
        <v>76</v>
      </c>
      <c r="E259" s="40">
        <v>3.0389379919791237E-2</v>
      </c>
      <c r="F259" s="61">
        <v>2.9903149841074578E-3</v>
      </c>
      <c r="G259" s="61">
        <v>7.548721972076144E-3</v>
      </c>
      <c r="H259" s="61">
        <v>1.3626597956034391E-2</v>
      </c>
      <c r="I259" s="61">
        <v>1.9704473939992636E-2</v>
      </c>
      <c r="J259" s="61">
        <v>2.5782349923950888E-2</v>
      </c>
      <c r="K259" s="61">
        <v>3.1860225907909136E-2</v>
      </c>
    </row>
    <row r="260" spans="2:11" x14ac:dyDescent="0.3">
      <c r="B260" s="33" t="s">
        <v>50</v>
      </c>
      <c r="C260" s="34" t="str">
        <f>C245</f>
        <v>Sudan</v>
      </c>
      <c r="D260" s="39" t="s">
        <v>74</v>
      </c>
      <c r="E260" s="40">
        <v>5.585392479945963E-2</v>
      </c>
      <c r="F260" s="61">
        <v>5.4960262002668276E-3</v>
      </c>
      <c r="G260" s="61">
        <v>1.3874114920185773E-2</v>
      </c>
      <c r="H260" s="61">
        <v>2.5044899880077701E-2</v>
      </c>
      <c r="I260" s="61">
        <v>3.621568483996962E-2</v>
      </c>
      <c r="J260" s="61">
        <v>4.7386469799861552E-2</v>
      </c>
      <c r="K260" s="61">
        <v>5.8557254759753478E-2</v>
      </c>
    </row>
    <row r="261" spans="2:11" x14ac:dyDescent="0.3">
      <c r="B261" s="35"/>
      <c r="C261" s="36"/>
      <c r="D261" s="39" t="s">
        <v>75</v>
      </c>
      <c r="E261" s="40">
        <v>1.5986983983069365E-2</v>
      </c>
      <c r="F261" s="61">
        <v>1.5731192239340256E-3</v>
      </c>
      <c r="G261" s="61">
        <v>3.9711668213944307E-3</v>
      </c>
      <c r="H261" s="61">
        <v>7.1685636180083036E-3</v>
      </c>
      <c r="I261" s="61">
        <v>1.0365960414622176E-2</v>
      </c>
      <c r="J261" s="61">
        <v>1.3563357211236049E-2</v>
      </c>
      <c r="K261" s="61">
        <v>1.6760754007849921E-2</v>
      </c>
    </row>
    <row r="262" spans="2:11" x14ac:dyDescent="0.3">
      <c r="B262" s="35"/>
      <c r="C262" s="36"/>
      <c r="D262" s="39" t="s">
        <v>76</v>
      </c>
      <c r="E262" s="40">
        <v>5.7269880961134362E-2</v>
      </c>
      <c r="F262" s="61">
        <v>5.6353562865756211E-3</v>
      </c>
      <c r="G262" s="61">
        <v>1.4225838430745775E-2</v>
      </c>
      <c r="H262" s="61">
        <v>2.5679814622972648E-2</v>
      </c>
      <c r="I262" s="61">
        <v>3.7133790815199519E-2</v>
      </c>
      <c r="J262" s="61">
        <v>4.8587767007426397E-2</v>
      </c>
      <c r="K262" s="61">
        <v>6.0041743199653268E-2</v>
      </c>
    </row>
    <row r="263" spans="2:11" x14ac:dyDescent="0.3">
      <c r="B263" s="33" t="s">
        <v>53</v>
      </c>
      <c r="C263" s="34" t="str">
        <f>C245</f>
        <v>Sudan</v>
      </c>
      <c r="D263" s="39" t="s">
        <v>74</v>
      </c>
      <c r="E263" s="40">
        <v>8.9294556859399257E-2</v>
      </c>
      <c r="F263" s="61">
        <v>8.7865843949648872E-3</v>
      </c>
      <c r="G263" s="61">
        <v>2.2180767923874776E-2</v>
      </c>
      <c r="H263" s="61">
        <v>4.0039679295754631E-2</v>
      </c>
      <c r="I263" s="61">
        <v>5.7898590667634475E-2</v>
      </c>
      <c r="J263" s="61">
        <v>7.5757502039514341E-2</v>
      </c>
      <c r="K263" s="61">
        <v>9.3616413411394178E-2</v>
      </c>
    </row>
    <row r="264" spans="2:11" x14ac:dyDescent="0.3">
      <c r="B264" s="35"/>
      <c r="C264" s="36"/>
      <c r="D264" s="39" t="s">
        <v>75</v>
      </c>
      <c r="E264" s="40">
        <v>3.2802031987920338E-2</v>
      </c>
      <c r="F264" s="61">
        <v>3.2277199476113613E-3</v>
      </c>
      <c r="G264" s="61">
        <v>8.148024745799412E-3</v>
      </c>
      <c r="H264" s="61">
        <v>1.470843114338348E-2</v>
      </c>
      <c r="I264" s="61">
        <v>2.1268837540967547E-2</v>
      </c>
      <c r="J264" s="61">
        <v>2.7829243938551615E-2</v>
      </c>
      <c r="K264" s="61">
        <v>3.4389650336135683E-2</v>
      </c>
    </row>
    <row r="265" spans="2:11" x14ac:dyDescent="0.3">
      <c r="B265" s="35"/>
      <c r="C265" s="36"/>
      <c r="D265" s="39" t="s">
        <v>76</v>
      </c>
      <c r="E265" s="40">
        <v>9.108313678173531E-2</v>
      </c>
      <c r="F265" s="61">
        <v>8.9625806593227539E-3</v>
      </c>
      <c r="G265" s="61">
        <v>2.262505117658305E-2</v>
      </c>
      <c r="H265" s="61">
        <v>4.0841678532930116E-2</v>
      </c>
      <c r="I265" s="61">
        <v>5.9058305889277171E-2</v>
      </c>
      <c r="J265" s="61">
        <v>7.7274933245624247E-2</v>
      </c>
      <c r="K265" s="61">
        <v>9.5491560601971295E-2</v>
      </c>
    </row>
    <row r="266" spans="2:11" x14ac:dyDescent="0.3">
      <c r="B266" s="33" t="s">
        <v>55</v>
      </c>
      <c r="C266" s="34" t="str">
        <f>C245</f>
        <v>Sudan</v>
      </c>
      <c r="D266" s="39" t="s">
        <v>74</v>
      </c>
      <c r="E266" s="40">
        <v>0.17906937261382469</v>
      </c>
      <c r="F266" s="61">
        <v>1.7620426265200349E-2</v>
      </c>
      <c r="G266" s="61">
        <v>4.4480832157274053E-2</v>
      </c>
      <c r="H266" s="61">
        <v>8.0294706680038991E-2</v>
      </c>
      <c r="I266" s="61">
        <v>0.11610858120280393</v>
      </c>
      <c r="J266" s="61">
        <v>0.15192245572556887</v>
      </c>
      <c r="K266" s="61">
        <v>0.1877363302483338</v>
      </c>
    </row>
    <row r="267" spans="2:11" x14ac:dyDescent="0.3">
      <c r="B267" s="35"/>
      <c r="C267" s="36"/>
      <c r="D267" s="39" t="s">
        <v>75</v>
      </c>
      <c r="E267" s="40">
        <v>9.8051190383781531E-2</v>
      </c>
      <c r="F267" s="61">
        <v>9.6482371337641027E-3</v>
      </c>
      <c r="G267" s="61">
        <v>2.4355915691331335E-2</v>
      </c>
      <c r="H267" s="61">
        <v>4.3966153768087643E-2</v>
      </c>
      <c r="I267" s="61">
        <v>6.3576391844843941E-2</v>
      </c>
      <c r="J267" s="61">
        <v>8.3186629921600252E-2</v>
      </c>
      <c r="K267" s="61">
        <v>0.10279686799835655</v>
      </c>
    </row>
    <row r="268" spans="2:11" x14ac:dyDescent="0.3">
      <c r="B268" s="35"/>
      <c r="C268" s="36"/>
      <c r="D268" s="39" t="s">
        <v>76</v>
      </c>
      <c r="E268" s="40">
        <v>0.18118080571094278</v>
      </c>
      <c r="F268" s="61">
        <v>1.7828191281956771E-2</v>
      </c>
      <c r="G268" s="61">
        <v>4.5005312138598187E-2</v>
      </c>
      <c r="H268" s="61">
        <v>8.124147328078675E-2</v>
      </c>
      <c r="I268" s="61">
        <v>0.11747763442297529</v>
      </c>
      <c r="J268" s="61">
        <v>0.15371379556516385</v>
      </c>
      <c r="K268" s="61">
        <v>0.1899499567073524</v>
      </c>
    </row>
    <row r="269" spans="2:11" x14ac:dyDescent="0.3">
      <c r="B269" s="33" t="s">
        <v>58</v>
      </c>
      <c r="C269" s="34" t="str">
        <f>C245</f>
        <v>Sudan</v>
      </c>
      <c r="D269" s="39" t="s">
        <v>74</v>
      </c>
      <c r="E269" s="40">
        <v>0.48765623679690789</v>
      </c>
      <c r="F269" s="61">
        <v>4.7985373700815737E-2</v>
      </c>
      <c r="G269" s="61">
        <v>0.12113380922035193</v>
      </c>
      <c r="H269" s="61">
        <v>0.21866505657973351</v>
      </c>
      <c r="I269" s="61">
        <v>0.31619630393911508</v>
      </c>
      <c r="J269" s="61">
        <v>0.4137275512984967</v>
      </c>
      <c r="K269" s="61">
        <v>0.51125879865787827</v>
      </c>
    </row>
    <row r="270" spans="2:11" x14ac:dyDescent="0.3">
      <c r="B270" s="35"/>
      <c r="C270" s="36"/>
      <c r="D270" s="39" t="s">
        <v>75</v>
      </c>
      <c r="E270" s="40">
        <v>0.48201031428927682</v>
      </c>
      <c r="F270" s="61">
        <v>4.7429814926064837E-2</v>
      </c>
      <c r="G270" s="61">
        <v>0.11973136206945637</v>
      </c>
      <c r="H270" s="61">
        <v>0.21613342492731175</v>
      </c>
      <c r="I270" s="61">
        <v>0.3125354877851671</v>
      </c>
      <c r="J270" s="61">
        <v>0.40893755064302245</v>
      </c>
      <c r="K270" s="61">
        <v>0.50533961350087786</v>
      </c>
    </row>
    <row r="271" spans="2:11" x14ac:dyDescent="0.3">
      <c r="B271" s="35"/>
      <c r="C271" s="36"/>
      <c r="D271" s="39" t="s">
        <v>76</v>
      </c>
      <c r="E271" s="40">
        <v>0.48777215462067108</v>
      </c>
      <c r="F271" s="61">
        <v>4.7996780014674036E-2</v>
      </c>
      <c r="G271" s="61">
        <v>0.12116260320777471</v>
      </c>
      <c r="H271" s="61">
        <v>0.21871703413190893</v>
      </c>
      <c r="I271" s="61">
        <v>0.31627146505604314</v>
      </c>
      <c r="J271" s="61">
        <v>0.41382589598017738</v>
      </c>
      <c r="K271" s="61">
        <v>0.51138032690431157</v>
      </c>
    </row>
    <row r="272" spans="2:11" x14ac:dyDescent="0.3">
      <c r="B272" s="33" t="s">
        <v>60</v>
      </c>
      <c r="C272" s="34" t="str">
        <f>C245</f>
        <v>Sudan</v>
      </c>
      <c r="D272" s="39" t="s">
        <v>74</v>
      </c>
      <c r="E272" s="65">
        <v>1</v>
      </c>
      <c r="F272" s="61">
        <v>9.8400000000000001E-2</v>
      </c>
      <c r="G272" s="61">
        <v>0.24840000000000001</v>
      </c>
      <c r="H272" s="61">
        <v>0.44840000000000002</v>
      </c>
      <c r="I272" s="61">
        <v>0.64839999999999998</v>
      </c>
      <c r="J272" s="61">
        <v>0.84840000000000004</v>
      </c>
      <c r="K272" s="61">
        <v>1.0484</v>
      </c>
    </row>
    <row r="273" spans="2:11" x14ac:dyDescent="0.3">
      <c r="B273" s="35"/>
      <c r="C273" s="36"/>
      <c r="D273" s="39" t="s">
        <v>75</v>
      </c>
      <c r="E273" s="65">
        <v>1</v>
      </c>
      <c r="F273" s="61">
        <v>9.8400000000000001E-2</v>
      </c>
      <c r="G273" s="61">
        <v>0.24840000000000001</v>
      </c>
      <c r="H273" s="61">
        <v>0.44840000000000002</v>
      </c>
      <c r="I273" s="61">
        <v>0.64839999999999998</v>
      </c>
      <c r="J273" s="61">
        <v>0.84840000000000004</v>
      </c>
      <c r="K273" s="61">
        <v>1.0484</v>
      </c>
    </row>
    <row r="274" spans="2:11" ht="15" thickBot="1" x14ac:dyDescent="0.35">
      <c r="B274" s="43"/>
      <c r="C274" s="44"/>
      <c r="D274" s="66" t="s">
        <v>76</v>
      </c>
      <c r="E274" s="67">
        <v>1</v>
      </c>
      <c r="F274" s="68">
        <v>9.8400000000000001E-2</v>
      </c>
      <c r="G274" s="68">
        <v>0.24840000000000001</v>
      </c>
      <c r="H274" s="68">
        <v>0.44840000000000002</v>
      </c>
      <c r="I274" s="68">
        <v>0.64839999999999998</v>
      </c>
      <c r="J274" s="68">
        <v>0.84840000000000004</v>
      </c>
      <c r="K274" s="68">
        <v>1.0484</v>
      </c>
    </row>
  </sheetData>
  <autoFilter ref="B4:E274" xr:uid="{15B2FC1F-41E3-48C0-962B-DAE2A6AA43E8}"/>
  <mergeCells count="13">
    <mergeCell ref="B3:E3"/>
    <mergeCell ref="S7:S10"/>
    <mergeCell ref="T7:AF7"/>
    <mergeCell ref="T8:AD8"/>
    <mergeCell ref="T9:U9"/>
    <mergeCell ref="V9:AA9"/>
    <mergeCell ref="AB9:AD9"/>
    <mergeCell ref="S15:S18"/>
    <mergeCell ref="T15:AF15"/>
    <mergeCell ref="T16:AD16"/>
    <mergeCell ref="T17:U17"/>
    <mergeCell ref="V17:AA17"/>
    <mergeCell ref="AB17:A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6AAB-46D4-46D9-B0D6-0CDE84EA2941}">
  <dimension ref="B2:AF124"/>
  <sheetViews>
    <sheetView tabSelected="1" topLeftCell="A81" workbookViewId="0">
      <selection activeCell="N96" sqref="N96"/>
    </sheetView>
  </sheetViews>
  <sheetFormatPr defaultRowHeight="14.4" x14ac:dyDescent="0.3"/>
  <cols>
    <col min="2" max="3" width="16" customWidth="1"/>
    <col min="4" max="4" width="16" style="30" customWidth="1"/>
    <col min="5" max="5" width="16" style="30" hidden="1" customWidth="1"/>
    <col min="6" max="11" width="14.44140625" style="30" customWidth="1"/>
    <col min="17" max="17" width="12.6640625" bestFit="1" customWidth="1"/>
    <col min="20" max="21" width="11.33203125" style="1" customWidth="1"/>
    <col min="22" max="22" width="10.5546875" style="1" customWidth="1"/>
    <col min="23" max="23" width="9.6640625" style="1" customWidth="1"/>
    <col min="24" max="30" width="8.88671875" style="1"/>
    <col min="31" max="31" width="10" style="1" customWidth="1"/>
    <col min="32" max="32" width="8.88671875" style="1"/>
  </cols>
  <sheetData>
    <row r="2" spans="2:32" hidden="1" x14ac:dyDescent="0.3">
      <c r="F2" s="62">
        <v>9.8400000000000001E-2</v>
      </c>
      <c r="G2" s="62">
        <v>0.24840000000000001</v>
      </c>
      <c r="H2" s="62">
        <v>0.44840000000000002</v>
      </c>
      <c r="I2" s="62">
        <v>0.64839999999999998</v>
      </c>
      <c r="J2" s="62">
        <v>0.84840000000000004</v>
      </c>
      <c r="K2" s="62">
        <v>1.0484</v>
      </c>
    </row>
    <row r="3" spans="2:32" x14ac:dyDescent="0.3">
      <c r="B3" s="113"/>
      <c r="C3" s="114"/>
      <c r="D3" s="114"/>
      <c r="E3" s="115"/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</row>
    <row r="4" spans="2:32" x14ac:dyDescent="0.3">
      <c r="B4" s="3" t="s">
        <v>1</v>
      </c>
      <c r="C4" s="3" t="s">
        <v>89</v>
      </c>
      <c r="D4" s="3" t="s">
        <v>73</v>
      </c>
      <c r="E4" s="3" t="s">
        <v>90</v>
      </c>
      <c r="F4" s="3" t="s">
        <v>91</v>
      </c>
      <c r="G4" s="3" t="s">
        <v>91</v>
      </c>
      <c r="H4" s="3" t="s">
        <v>91</v>
      </c>
      <c r="I4" s="3" t="s">
        <v>91</v>
      </c>
      <c r="J4" s="3" t="s">
        <v>91</v>
      </c>
      <c r="K4" s="3" t="s">
        <v>91</v>
      </c>
    </row>
    <row r="5" spans="2:32" x14ac:dyDescent="0.3">
      <c r="B5" s="33" t="s">
        <v>13</v>
      </c>
      <c r="C5" s="37" t="s">
        <v>101</v>
      </c>
      <c r="D5" s="39" t="s">
        <v>74</v>
      </c>
      <c r="E5" s="63">
        <v>1.567887171486349E-3</v>
      </c>
      <c r="F5" s="61">
        <v>1.5428009767425675E-4</v>
      </c>
      <c r="G5" s="61">
        <v>3.8946317339720913E-4</v>
      </c>
      <c r="H5" s="61">
        <v>7.0304060769447888E-4</v>
      </c>
      <c r="I5" s="61">
        <v>1.0166180419917486E-3</v>
      </c>
      <c r="J5" s="61">
        <v>1.3301954762890186E-3</v>
      </c>
      <c r="K5" s="61">
        <v>1.6437729105862884E-3</v>
      </c>
    </row>
    <row r="6" spans="2:32" ht="28.8" x14ac:dyDescent="0.3">
      <c r="B6" s="35"/>
      <c r="C6" s="41"/>
      <c r="D6" s="39" t="s">
        <v>75</v>
      </c>
      <c r="E6" s="63">
        <v>3.9816785361716903E-5</v>
      </c>
      <c r="F6" s="61">
        <v>3.9179716795929433E-6</v>
      </c>
      <c r="G6" s="61">
        <v>9.8904894838504792E-6</v>
      </c>
      <c r="H6" s="61">
        <v>1.7853846556193859E-5</v>
      </c>
      <c r="I6" s="61">
        <v>2.581720362853724E-5</v>
      </c>
      <c r="J6" s="61">
        <v>3.3780560700880621E-5</v>
      </c>
      <c r="K6" s="61">
        <v>4.1743917773223999E-5</v>
      </c>
      <c r="M6" s="5" t="s">
        <v>9</v>
      </c>
      <c r="N6" s="3" t="s">
        <v>10</v>
      </c>
      <c r="P6" s="3" t="s">
        <v>0</v>
      </c>
      <c r="Q6" s="3" t="s">
        <v>11</v>
      </c>
      <c r="S6" s="6" t="s">
        <v>12</v>
      </c>
      <c r="T6" s="7"/>
    </row>
    <row r="7" spans="2:32" x14ac:dyDescent="0.3">
      <c r="B7" s="35"/>
      <c r="C7" s="59"/>
      <c r="D7" s="39" t="s">
        <v>76</v>
      </c>
      <c r="E7" s="63">
        <v>1.435654724896585E-3</v>
      </c>
      <c r="F7" s="61">
        <v>1.4126842492982397E-4</v>
      </c>
      <c r="G7" s="61">
        <v>3.5661663366431175E-4</v>
      </c>
      <c r="H7" s="61">
        <v>6.4374757864362874E-4</v>
      </c>
      <c r="I7" s="61">
        <v>9.3087852362294568E-4</v>
      </c>
      <c r="J7" s="61">
        <v>1.2180094686022628E-3</v>
      </c>
      <c r="K7" s="61">
        <v>1.5051404135815797E-3</v>
      </c>
      <c r="M7" s="11" t="s">
        <v>14</v>
      </c>
      <c r="N7" s="12" t="s">
        <v>13</v>
      </c>
      <c r="P7" s="12" t="s">
        <v>15</v>
      </c>
      <c r="Q7" s="12" t="s">
        <v>16</v>
      </c>
      <c r="S7" s="109" t="s">
        <v>17</v>
      </c>
      <c r="T7" s="112" t="s">
        <v>18</v>
      </c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</row>
    <row r="8" spans="2:32" x14ac:dyDescent="0.3">
      <c r="B8" s="37" t="s">
        <v>19</v>
      </c>
      <c r="C8" s="38" t="str">
        <f>C5</f>
        <v>Norway</v>
      </c>
      <c r="D8" s="39" t="s">
        <v>74</v>
      </c>
      <c r="E8" s="40">
        <v>8.8289208071454569E-3</v>
      </c>
      <c r="F8" s="61">
        <v>8.6876580742311293E-4</v>
      </c>
      <c r="G8" s="61">
        <v>2.1931039284949316E-3</v>
      </c>
      <c r="H8" s="61">
        <v>3.9588880899240229E-3</v>
      </c>
      <c r="I8" s="61">
        <v>5.7246722513531138E-3</v>
      </c>
      <c r="J8" s="61">
        <v>7.4904564127822064E-3</v>
      </c>
      <c r="K8" s="61">
        <v>9.2562405742112972E-3</v>
      </c>
      <c r="M8" s="11" t="s">
        <v>20</v>
      </c>
      <c r="N8" s="12" t="s">
        <v>13</v>
      </c>
      <c r="P8" s="12" t="s">
        <v>21</v>
      </c>
      <c r="Q8" s="12" t="s">
        <v>22</v>
      </c>
      <c r="S8" s="110"/>
      <c r="T8" s="113" t="s">
        <v>23</v>
      </c>
      <c r="U8" s="114"/>
      <c r="V8" s="114"/>
      <c r="W8" s="114"/>
      <c r="X8" s="114"/>
      <c r="Y8" s="114"/>
      <c r="Z8" s="114"/>
      <c r="AA8" s="114"/>
      <c r="AB8" s="114"/>
      <c r="AC8" s="114"/>
      <c r="AD8" s="115"/>
      <c r="AE8" s="14"/>
      <c r="AF8" s="13"/>
    </row>
    <row r="9" spans="2:32" x14ac:dyDescent="0.3">
      <c r="B9" s="35"/>
      <c r="C9" s="35"/>
      <c r="D9" s="64" t="s">
        <v>75</v>
      </c>
      <c r="E9" s="40">
        <v>6.048379584140661E-4</v>
      </c>
      <c r="F9" s="61">
        <v>5.9516055107944105E-5</v>
      </c>
      <c r="G9" s="61">
        <v>1.5024174887005404E-4</v>
      </c>
      <c r="H9" s="61">
        <v>2.7120934055286728E-4</v>
      </c>
      <c r="I9" s="61">
        <v>3.9217693223568046E-4</v>
      </c>
      <c r="J9" s="61">
        <v>5.1314452391849365E-4</v>
      </c>
      <c r="K9" s="61">
        <v>6.3411211560130689E-4</v>
      </c>
      <c r="M9" s="11" t="s">
        <v>25</v>
      </c>
      <c r="N9" s="12" t="s">
        <v>13</v>
      </c>
      <c r="P9" s="12" t="s">
        <v>26</v>
      </c>
      <c r="Q9" s="12" t="s">
        <v>27</v>
      </c>
      <c r="S9" s="110"/>
      <c r="T9" s="113" t="s">
        <v>10</v>
      </c>
      <c r="U9" s="115"/>
      <c r="V9" s="114" t="s">
        <v>28</v>
      </c>
      <c r="W9" s="114"/>
      <c r="X9" s="114"/>
      <c r="Y9" s="114"/>
      <c r="Z9" s="114"/>
      <c r="AA9" s="115"/>
      <c r="AB9" s="113" t="s">
        <v>29</v>
      </c>
      <c r="AC9" s="114"/>
      <c r="AD9" s="115"/>
      <c r="AE9" s="13"/>
      <c r="AF9" s="13"/>
    </row>
    <row r="10" spans="2:32" ht="28.8" x14ac:dyDescent="0.3">
      <c r="B10" s="35"/>
      <c r="C10" s="36"/>
      <c r="D10" s="39" t="s">
        <v>76</v>
      </c>
      <c r="E10" s="40">
        <v>8.2815845252276529E-3</v>
      </c>
      <c r="F10" s="61">
        <v>8.149079172824011E-4</v>
      </c>
      <c r="G10" s="61">
        <v>2.0571455960665492E-3</v>
      </c>
      <c r="H10" s="61">
        <v>3.7134625011120796E-3</v>
      </c>
      <c r="I10" s="61">
        <v>5.36977940615761E-3</v>
      </c>
      <c r="J10" s="61">
        <v>7.0260963112031413E-3</v>
      </c>
      <c r="K10" s="61">
        <v>8.6824132162486717E-3</v>
      </c>
      <c r="M10" s="11" t="s">
        <v>31</v>
      </c>
      <c r="N10" s="12" t="s">
        <v>13</v>
      </c>
      <c r="O10" s="30"/>
      <c r="P10" s="12" t="s">
        <v>32</v>
      </c>
      <c r="Q10" s="12" t="s">
        <v>33</v>
      </c>
      <c r="R10" s="30"/>
      <c r="S10" s="111"/>
      <c r="T10" s="19" t="s">
        <v>34</v>
      </c>
      <c r="U10" s="19" t="s">
        <v>0</v>
      </c>
      <c r="V10" s="19" t="s">
        <v>35</v>
      </c>
      <c r="W10" s="19" t="s">
        <v>36</v>
      </c>
      <c r="X10" s="19" t="s">
        <v>37</v>
      </c>
      <c r="Y10" s="19" t="s">
        <v>38</v>
      </c>
      <c r="Z10" s="19" t="s">
        <v>39</v>
      </c>
      <c r="AA10" s="19" t="s">
        <v>40</v>
      </c>
      <c r="AB10" s="19" t="s">
        <v>41</v>
      </c>
      <c r="AC10" s="19" t="s">
        <v>42</v>
      </c>
      <c r="AD10" s="19" t="s">
        <v>43</v>
      </c>
      <c r="AE10" s="19" t="s">
        <v>44</v>
      </c>
      <c r="AF10" s="19" t="s">
        <v>45</v>
      </c>
    </row>
    <row r="11" spans="2:32" x14ac:dyDescent="0.3">
      <c r="B11" s="33" t="s">
        <v>24</v>
      </c>
      <c r="C11" s="34" t="str">
        <f>C5</f>
        <v>Norway</v>
      </c>
      <c r="D11" s="39" t="s">
        <v>74</v>
      </c>
      <c r="E11" s="40">
        <v>8.9381652678170252E-3</v>
      </c>
      <c r="F11" s="61">
        <v>8.7951546235319532E-4</v>
      </c>
      <c r="G11" s="61">
        <v>2.2202402525257491E-3</v>
      </c>
      <c r="H11" s="61">
        <v>4.0078733060891544E-3</v>
      </c>
      <c r="I11" s="61">
        <v>5.7955063596525592E-3</v>
      </c>
      <c r="J11" s="61">
        <v>7.5831394132159649E-3</v>
      </c>
      <c r="K11" s="61">
        <v>9.3707724667793698E-3</v>
      </c>
      <c r="M11" s="11" t="s">
        <v>47</v>
      </c>
      <c r="N11" s="12" t="s">
        <v>13</v>
      </c>
      <c r="P11" s="12" t="s">
        <v>48</v>
      </c>
      <c r="Q11" s="12" t="s">
        <v>49</v>
      </c>
      <c r="S11" s="15"/>
      <c r="T11" s="13"/>
      <c r="U11" s="13"/>
      <c r="V11" s="13"/>
      <c r="W11" s="13"/>
      <c r="X11" s="13"/>
      <c r="Y11" s="13"/>
      <c r="Z11" s="13"/>
      <c r="AA11" s="13">
        <f>SUM(W11:Z11)</f>
        <v>0</v>
      </c>
      <c r="AB11" s="13"/>
      <c r="AC11" s="13"/>
      <c r="AD11" s="13">
        <f>SUM(AB11:AC11)</f>
        <v>0</v>
      </c>
      <c r="AE11" s="13">
        <f>SUM(AA11,AD11)</f>
        <v>0</v>
      </c>
      <c r="AF11" s="13">
        <f>AE11-SUM(W11:X11)</f>
        <v>0</v>
      </c>
    </row>
    <row r="12" spans="2:32" x14ac:dyDescent="0.3">
      <c r="B12" s="35"/>
      <c r="C12" s="36"/>
      <c r="D12" s="39" t="s">
        <v>75</v>
      </c>
      <c r="E12" s="40">
        <v>6.1671646029000599E-4</v>
      </c>
      <c r="F12" s="61">
        <v>6.0684899692536587E-5</v>
      </c>
      <c r="G12" s="61">
        <v>1.5319236873603749E-4</v>
      </c>
      <c r="H12" s="61">
        <v>2.7653566079403869E-4</v>
      </c>
      <c r="I12" s="61">
        <v>3.9987895285203989E-4</v>
      </c>
      <c r="J12" s="61">
        <v>5.2322224491004109E-4</v>
      </c>
      <c r="K12" s="61">
        <v>6.4656553696804228E-4</v>
      </c>
      <c r="M12" s="11" t="s">
        <v>51</v>
      </c>
      <c r="N12" s="12" t="s">
        <v>13</v>
      </c>
      <c r="P12" s="12" t="s">
        <v>52</v>
      </c>
      <c r="Q12" s="20">
        <v>1</v>
      </c>
    </row>
    <row r="13" spans="2:32" x14ac:dyDescent="0.3">
      <c r="B13" s="35"/>
      <c r="C13" s="36"/>
      <c r="D13" s="39" t="s">
        <v>76</v>
      </c>
      <c r="E13" s="40">
        <v>8.3855227338271408E-3</v>
      </c>
      <c r="F13" s="61">
        <v>8.2513543700859062E-4</v>
      </c>
      <c r="G13" s="61">
        <v>2.082963847082662E-3</v>
      </c>
      <c r="H13" s="61">
        <v>3.7600683938480901E-3</v>
      </c>
      <c r="I13" s="61">
        <v>5.4371729406135182E-3</v>
      </c>
      <c r="J13" s="61">
        <v>7.1142774873789467E-3</v>
      </c>
      <c r="K13" s="61">
        <v>8.7913820341443752E-3</v>
      </c>
      <c r="M13" s="11" t="s">
        <v>54</v>
      </c>
      <c r="N13" s="12" t="s">
        <v>13</v>
      </c>
    </row>
    <row r="14" spans="2:32" x14ac:dyDescent="0.3">
      <c r="B14" s="33" t="s">
        <v>30</v>
      </c>
      <c r="C14" s="34" t="str">
        <f>C5</f>
        <v>Norway</v>
      </c>
      <c r="D14" s="39" t="s">
        <v>74</v>
      </c>
      <c r="E14" s="40">
        <v>1.6269635528244161E-2</v>
      </c>
      <c r="F14" s="61">
        <v>1.6009321359792255E-3</v>
      </c>
      <c r="G14" s="61">
        <v>4.0413774652158499E-3</v>
      </c>
      <c r="H14" s="61">
        <v>7.2953045708646826E-3</v>
      </c>
      <c r="I14" s="61">
        <v>1.0549231676513515E-2</v>
      </c>
      <c r="J14" s="61">
        <v>1.3803158782162346E-2</v>
      </c>
      <c r="K14" s="61">
        <v>1.7057085887811178E-2</v>
      </c>
      <c r="M14" s="11" t="s">
        <v>56</v>
      </c>
      <c r="N14" s="12" t="s">
        <v>19</v>
      </c>
      <c r="S14" s="6" t="s">
        <v>57</v>
      </c>
      <c r="T14" s="7"/>
    </row>
    <row r="15" spans="2:32" x14ac:dyDescent="0.3">
      <c r="B15" s="35"/>
      <c r="C15" s="36"/>
      <c r="D15" s="39" t="s">
        <v>75</v>
      </c>
      <c r="E15" s="40">
        <v>1.5949946530835822E-3</v>
      </c>
      <c r="F15" s="61">
        <v>1.5694747386342449E-4</v>
      </c>
      <c r="G15" s="61">
        <v>3.961966718259618E-4</v>
      </c>
      <c r="H15" s="61">
        <v>7.1519560244267828E-4</v>
      </c>
      <c r="I15" s="61">
        <v>1.0341945330593946E-3</v>
      </c>
      <c r="J15" s="61">
        <v>1.3531934636761111E-3</v>
      </c>
      <c r="K15" s="61">
        <v>1.6721923942928276E-3</v>
      </c>
      <c r="M15" s="11" t="s">
        <v>59</v>
      </c>
      <c r="N15" s="12" t="s">
        <v>19</v>
      </c>
      <c r="S15" s="109" t="s">
        <v>17</v>
      </c>
      <c r="T15" s="112" t="s">
        <v>18</v>
      </c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</row>
    <row r="16" spans="2:32" x14ac:dyDescent="0.3">
      <c r="B16" s="41"/>
      <c r="C16" s="42"/>
      <c r="D16" s="39" t="s">
        <v>76</v>
      </c>
      <c r="E16" s="40">
        <v>1.5395732347048012E-2</v>
      </c>
      <c r="F16" s="61">
        <v>1.5149400629495245E-3</v>
      </c>
      <c r="G16" s="61">
        <v>3.8242999150067264E-3</v>
      </c>
      <c r="H16" s="61">
        <v>6.9034463844163292E-3</v>
      </c>
      <c r="I16" s="61">
        <v>9.9825928538259303E-3</v>
      </c>
      <c r="J16" s="61">
        <v>1.3061739323235535E-2</v>
      </c>
      <c r="K16" s="61">
        <v>1.6140885792645138E-2</v>
      </c>
      <c r="M16" s="11" t="s">
        <v>61</v>
      </c>
      <c r="N16" s="12" t="s">
        <v>24</v>
      </c>
      <c r="S16" s="110"/>
      <c r="T16" s="113" t="s">
        <v>23</v>
      </c>
      <c r="U16" s="114"/>
      <c r="V16" s="114"/>
      <c r="W16" s="114"/>
      <c r="X16" s="114"/>
      <c r="Y16" s="114"/>
      <c r="Z16" s="114"/>
      <c r="AA16" s="114"/>
      <c r="AB16" s="114"/>
      <c r="AC16" s="114"/>
      <c r="AD16" s="115"/>
      <c r="AE16" s="14"/>
      <c r="AF16" s="13"/>
    </row>
    <row r="17" spans="2:32" x14ac:dyDescent="0.3">
      <c r="B17" s="33" t="s">
        <v>46</v>
      </c>
      <c r="C17" s="34" t="str">
        <f>C5</f>
        <v>Norway</v>
      </c>
      <c r="D17" s="39" t="s">
        <v>74</v>
      </c>
      <c r="E17" s="40">
        <v>3.0364167619636583E-2</v>
      </c>
      <c r="F17" s="61">
        <v>2.9878340937722399E-3</v>
      </c>
      <c r="G17" s="61">
        <v>7.5424592367177275E-3</v>
      </c>
      <c r="H17" s="61">
        <v>1.3615292760645045E-2</v>
      </c>
      <c r="I17" s="61">
        <v>1.9688126284572359E-2</v>
      </c>
      <c r="J17" s="61">
        <v>2.5760959808499677E-2</v>
      </c>
      <c r="K17" s="61">
        <v>3.1833793332426995E-2</v>
      </c>
      <c r="M17" s="11" t="s">
        <v>62</v>
      </c>
      <c r="N17" s="12" t="s">
        <v>24</v>
      </c>
      <c r="S17" s="110"/>
      <c r="T17" s="113" t="s">
        <v>10</v>
      </c>
      <c r="U17" s="115"/>
      <c r="V17" s="114" t="s">
        <v>28</v>
      </c>
      <c r="W17" s="114"/>
      <c r="X17" s="114"/>
      <c r="Y17" s="114"/>
      <c r="Z17" s="114"/>
      <c r="AA17" s="115"/>
      <c r="AB17" s="113" t="s">
        <v>29</v>
      </c>
      <c r="AC17" s="114"/>
      <c r="AD17" s="115"/>
      <c r="AE17" s="13"/>
      <c r="AF17" s="13"/>
    </row>
    <row r="18" spans="2:32" ht="28.8" x14ac:dyDescent="0.3">
      <c r="B18" s="35"/>
      <c r="C18" s="36"/>
      <c r="D18" s="39" t="s">
        <v>75</v>
      </c>
      <c r="E18" s="40">
        <v>4.330726741817348E-3</v>
      </c>
      <c r="F18" s="61">
        <v>4.2614351139482707E-4</v>
      </c>
      <c r="G18" s="61">
        <v>1.0757525226674292E-3</v>
      </c>
      <c r="H18" s="61">
        <v>1.941897871030899E-3</v>
      </c>
      <c r="I18" s="61">
        <v>2.8080432193943682E-3</v>
      </c>
      <c r="J18" s="61">
        <v>3.6741885677578382E-3</v>
      </c>
      <c r="K18" s="61">
        <v>4.5403339161213079E-3</v>
      </c>
      <c r="M18" s="11" t="s">
        <v>63</v>
      </c>
      <c r="N18" s="12" t="s">
        <v>30</v>
      </c>
      <c r="O18" s="30"/>
      <c r="P18" s="30"/>
      <c r="Q18" s="30"/>
      <c r="R18" s="30"/>
      <c r="S18" s="111"/>
      <c r="T18" s="19" t="s">
        <v>34</v>
      </c>
      <c r="U18" s="19" t="s">
        <v>0</v>
      </c>
      <c r="V18" s="19" t="s">
        <v>35</v>
      </c>
      <c r="W18" s="19" t="s">
        <v>36</v>
      </c>
      <c r="X18" s="19" t="s">
        <v>37</v>
      </c>
      <c r="Y18" s="19" t="s">
        <v>38</v>
      </c>
      <c r="Z18" s="19" t="s">
        <v>39</v>
      </c>
      <c r="AA18" s="19" t="s">
        <v>40</v>
      </c>
      <c r="AB18" s="19" t="s">
        <v>41</v>
      </c>
      <c r="AC18" s="19" t="s">
        <v>42</v>
      </c>
      <c r="AD18" s="19" t="s">
        <v>43</v>
      </c>
      <c r="AE18" s="19" t="s">
        <v>44</v>
      </c>
      <c r="AF18" s="19" t="s">
        <v>45</v>
      </c>
    </row>
    <row r="19" spans="2:32" x14ac:dyDescent="0.3">
      <c r="B19" s="35"/>
      <c r="C19" s="36"/>
      <c r="D19" s="39" t="s">
        <v>76</v>
      </c>
      <c r="E19" s="40">
        <v>2.8999939671620928E-2</v>
      </c>
      <c r="F19" s="61">
        <v>2.8535940636874994E-3</v>
      </c>
      <c r="G19" s="61">
        <v>7.2035850144306392E-3</v>
      </c>
      <c r="H19" s="61">
        <v>1.3003572948754824E-2</v>
      </c>
      <c r="I19" s="61">
        <v>1.880356088307901E-2</v>
      </c>
      <c r="J19" s="61">
        <v>2.4603548817403197E-2</v>
      </c>
      <c r="K19" s="61">
        <v>3.040353675172738E-2</v>
      </c>
      <c r="M19" s="11" t="s">
        <v>64</v>
      </c>
      <c r="N19" s="12" t="s">
        <v>46</v>
      </c>
      <c r="S19" s="15"/>
      <c r="T19" s="13"/>
      <c r="U19" s="13"/>
      <c r="V19" s="13"/>
      <c r="W19" s="13"/>
      <c r="X19" s="13"/>
      <c r="Y19" s="13"/>
      <c r="Z19" s="13"/>
      <c r="AA19" s="13">
        <f>SUM(W19:Z19)</f>
        <v>0</v>
      </c>
      <c r="AB19" s="13"/>
      <c r="AC19" s="13"/>
      <c r="AD19" s="13">
        <f ca="1">SUM(AB19:AD19)</f>
        <v>0</v>
      </c>
      <c r="AE19" s="13">
        <f ca="1">SUM(AA19,AD19)</f>
        <v>0</v>
      </c>
      <c r="AF19" s="13">
        <f ca="1">AE19-SUM(W19:X19)</f>
        <v>0</v>
      </c>
    </row>
    <row r="20" spans="2:32" x14ac:dyDescent="0.3">
      <c r="B20" s="33" t="s">
        <v>50</v>
      </c>
      <c r="C20" s="34" t="str">
        <f>C5</f>
        <v>Norway</v>
      </c>
      <c r="D20" s="39" t="s">
        <v>74</v>
      </c>
      <c r="E20" s="40">
        <v>5.7230581672200825E-2</v>
      </c>
      <c r="F20" s="61">
        <v>5.6314892365445617E-3</v>
      </c>
      <c r="G20" s="61">
        <v>1.4216076487374685E-2</v>
      </c>
      <c r="H20" s="61">
        <v>2.5662192821814853E-2</v>
      </c>
      <c r="I20" s="61">
        <v>3.7108309156255015E-2</v>
      </c>
      <c r="J20" s="61">
        <v>4.8554425490695184E-2</v>
      </c>
      <c r="K20" s="61">
        <v>6.0000541825135346E-2</v>
      </c>
      <c r="M20" s="11" t="s">
        <v>65</v>
      </c>
      <c r="N20" s="12" t="s">
        <v>50</v>
      </c>
    </row>
    <row r="21" spans="2:32" x14ac:dyDescent="0.3">
      <c r="B21" s="35"/>
      <c r="C21" s="36"/>
      <c r="D21" s="39" t="s">
        <v>75</v>
      </c>
      <c r="E21" s="40">
        <v>1.2141052714596699E-2</v>
      </c>
      <c r="F21" s="61">
        <v>1.1946795871163151E-3</v>
      </c>
      <c r="G21" s="61">
        <v>3.0158374943058202E-3</v>
      </c>
      <c r="H21" s="61">
        <v>5.4440480372251604E-3</v>
      </c>
      <c r="I21" s="61">
        <v>7.8722585801444984E-3</v>
      </c>
      <c r="J21" s="61">
        <v>1.030046912306384E-2</v>
      </c>
      <c r="K21" s="61">
        <v>1.272867966598318E-2</v>
      </c>
      <c r="M21" s="11" t="s">
        <v>66</v>
      </c>
      <c r="N21" s="12" t="s">
        <v>53</v>
      </c>
    </row>
    <row r="22" spans="2:32" x14ac:dyDescent="0.3">
      <c r="B22" s="35"/>
      <c r="C22" s="36"/>
      <c r="D22" s="39" t="s">
        <v>76</v>
      </c>
      <c r="E22" s="40">
        <v>5.5197290605789241E-2</v>
      </c>
      <c r="F22" s="61">
        <v>5.4314133956096617E-3</v>
      </c>
      <c r="G22" s="61">
        <v>1.3711006986478048E-2</v>
      </c>
      <c r="H22" s="61">
        <v>2.4750465107635896E-2</v>
      </c>
      <c r="I22" s="61">
        <v>3.5789923228793742E-2</v>
      </c>
      <c r="J22" s="61">
        <v>4.6829381349951592E-2</v>
      </c>
      <c r="K22" s="61">
        <v>5.7868839471109441E-2</v>
      </c>
      <c r="M22" s="11" t="s">
        <v>67</v>
      </c>
      <c r="N22" s="12" t="s">
        <v>55</v>
      </c>
    </row>
    <row r="23" spans="2:32" x14ac:dyDescent="0.3">
      <c r="B23" s="33" t="s">
        <v>53</v>
      </c>
      <c r="C23" s="34" t="str">
        <f>C5</f>
        <v>Norway</v>
      </c>
      <c r="D23" s="39" t="s">
        <v>74</v>
      </c>
      <c r="E23" s="40">
        <v>9.1031756164555444E-2</v>
      </c>
      <c r="F23" s="61">
        <v>8.9575248065922562E-3</v>
      </c>
      <c r="G23" s="61">
        <v>2.2612288231275573E-2</v>
      </c>
      <c r="H23" s="61">
        <v>4.0818639464186665E-2</v>
      </c>
      <c r="I23" s="61">
        <v>5.9024990697097747E-2</v>
      </c>
      <c r="J23" s="61">
        <v>7.7231341930008843E-2</v>
      </c>
      <c r="K23" s="61">
        <v>9.5437693162919932E-2</v>
      </c>
      <c r="M23" s="11" t="s">
        <v>68</v>
      </c>
      <c r="N23" s="12" t="s">
        <v>58</v>
      </c>
    </row>
    <row r="24" spans="2:32" x14ac:dyDescent="0.3">
      <c r="B24" s="35"/>
      <c r="C24" s="36"/>
      <c r="D24" s="39" t="s">
        <v>75</v>
      </c>
      <c r="E24" s="40">
        <v>2.6257066087855777E-2</v>
      </c>
      <c r="F24" s="61">
        <v>2.5836953030450084E-3</v>
      </c>
      <c r="G24" s="61">
        <v>6.5222552162233754E-3</v>
      </c>
      <c r="H24" s="61">
        <v>1.1773668433794531E-2</v>
      </c>
      <c r="I24" s="61">
        <v>1.7025081651365685E-2</v>
      </c>
      <c r="J24" s="61">
        <v>2.2276494868936843E-2</v>
      </c>
      <c r="K24" s="61">
        <v>2.7527908086507995E-2</v>
      </c>
      <c r="M24" s="11" t="s">
        <v>69</v>
      </c>
      <c r="N24" s="12" t="s">
        <v>58</v>
      </c>
    </row>
    <row r="25" spans="2:32" x14ac:dyDescent="0.3">
      <c r="B25" s="35"/>
      <c r="C25" s="36"/>
      <c r="D25" s="39" t="s">
        <v>76</v>
      </c>
      <c r="E25" s="40">
        <v>8.845982234424761E-2</v>
      </c>
      <c r="F25" s="61">
        <v>8.7044465186739643E-3</v>
      </c>
      <c r="G25" s="61">
        <v>2.1973419870311109E-2</v>
      </c>
      <c r="H25" s="61">
        <v>3.9665384339160628E-2</v>
      </c>
      <c r="I25" s="61">
        <v>5.7357348808010147E-2</v>
      </c>
      <c r="J25" s="61">
        <v>7.504931327685968E-2</v>
      </c>
      <c r="K25" s="61">
        <v>9.27412777457092E-2</v>
      </c>
      <c r="M25" s="11" t="s">
        <v>70</v>
      </c>
      <c r="N25" s="12" t="s">
        <v>58</v>
      </c>
    </row>
    <row r="26" spans="2:32" x14ac:dyDescent="0.3">
      <c r="B26" s="33" t="s">
        <v>55</v>
      </c>
      <c r="C26" s="34" t="str">
        <f>C5</f>
        <v>Norway</v>
      </c>
      <c r="D26" s="39" t="s">
        <v>74</v>
      </c>
      <c r="E26" s="40">
        <v>0.18111702070173827</v>
      </c>
      <c r="F26" s="61">
        <v>1.7821914837051044E-2</v>
      </c>
      <c r="G26" s="61">
        <v>4.4989467942311789E-2</v>
      </c>
      <c r="H26" s="61">
        <v>8.121287208265944E-2</v>
      </c>
      <c r="I26" s="61">
        <v>0.11743627622300709</v>
      </c>
      <c r="J26" s="61">
        <v>0.15365968036335476</v>
      </c>
      <c r="K26" s="61">
        <v>0.18988308450370239</v>
      </c>
      <c r="M26" s="11" t="s">
        <v>71</v>
      </c>
      <c r="N26" s="12" t="s">
        <v>60</v>
      </c>
    </row>
    <row r="27" spans="2:32" x14ac:dyDescent="0.3">
      <c r="B27" s="35"/>
      <c r="C27" s="36"/>
      <c r="D27" s="39" t="s">
        <v>75</v>
      </c>
      <c r="E27" s="40">
        <v>8.5526669897705854E-2</v>
      </c>
      <c r="F27" s="61">
        <v>8.4158243179342559E-3</v>
      </c>
      <c r="G27" s="61">
        <v>2.1244824802590136E-2</v>
      </c>
      <c r="H27" s="61">
        <v>3.8350158782131306E-2</v>
      </c>
      <c r="I27" s="61">
        <v>5.545549276167247E-2</v>
      </c>
      <c r="J27" s="61">
        <v>7.2560826741213655E-2</v>
      </c>
      <c r="K27" s="61">
        <v>8.9666160720754812E-2</v>
      </c>
    </row>
    <row r="28" spans="2:32" x14ac:dyDescent="0.3">
      <c r="B28" s="35"/>
      <c r="C28" s="36"/>
      <c r="D28" s="39" t="s">
        <v>76</v>
      </c>
      <c r="E28" s="40">
        <v>0.17807424783724699</v>
      </c>
      <c r="F28" s="61">
        <v>1.7522505987185105E-2</v>
      </c>
      <c r="G28" s="61">
        <v>4.4233643162772153E-2</v>
      </c>
      <c r="H28" s="61">
        <v>7.9848492730221557E-2</v>
      </c>
      <c r="I28" s="61">
        <v>0.11546334229767094</v>
      </c>
      <c r="J28" s="61">
        <v>0.15107819186512034</v>
      </c>
      <c r="K28" s="61">
        <v>0.18669304143256973</v>
      </c>
    </row>
    <row r="29" spans="2:32" x14ac:dyDescent="0.3">
      <c r="B29" s="33" t="s">
        <v>58</v>
      </c>
      <c r="C29" s="34" t="str">
        <f>C5</f>
        <v>Norway</v>
      </c>
      <c r="D29" s="39" t="s">
        <v>74</v>
      </c>
      <c r="E29" s="40">
        <v>0.48776847491040881</v>
      </c>
      <c r="F29" s="61">
        <v>4.7996417931184227E-2</v>
      </c>
      <c r="G29" s="61">
        <v>0.12116168916774556</v>
      </c>
      <c r="H29" s="61">
        <v>0.21871538414982733</v>
      </c>
      <c r="I29" s="61">
        <v>0.31626907913190905</v>
      </c>
      <c r="J29" s="61">
        <v>0.41382277411399088</v>
      </c>
      <c r="K29" s="61">
        <v>0.51137646909607259</v>
      </c>
    </row>
    <row r="30" spans="2:32" x14ac:dyDescent="0.3">
      <c r="B30" s="35"/>
      <c r="C30" s="36"/>
      <c r="D30" s="39" t="s">
        <v>75</v>
      </c>
      <c r="E30" s="40">
        <v>0.4807904528017623</v>
      </c>
      <c r="F30" s="61">
        <v>4.7309780555693411E-2</v>
      </c>
      <c r="G30" s="61">
        <v>0.11942834847595776</v>
      </c>
      <c r="H30" s="61">
        <v>0.21558643903631022</v>
      </c>
      <c r="I30" s="61">
        <v>0.31174452959666266</v>
      </c>
      <c r="J30" s="61">
        <v>0.40790262015701517</v>
      </c>
      <c r="K30" s="61">
        <v>0.50406071071736758</v>
      </c>
    </row>
    <row r="31" spans="2:32" x14ac:dyDescent="0.3">
      <c r="B31" s="35"/>
      <c r="C31" s="36"/>
      <c r="D31" s="39" t="s">
        <v>76</v>
      </c>
      <c r="E31" s="40">
        <v>0.48760103854422954</v>
      </c>
      <c r="F31" s="61">
        <v>4.7979942192752187E-2</v>
      </c>
      <c r="G31" s="61">
        <v>0.12112009797438662</v>
      </c>
      <c r="H31" s="61">
        <v>0.21864030568323253</v>
      </c>
      <c r="I31" s="61">
        <v>0.3161605133920784</v>
      </c>
      <c r="J31" s="61">
        <v>0.41368072110092435</v>
      </c>
      <c r="K31" s="61">
        <v>0.51120092880977019</v>
      </c>
    </row>
    <row r="32" spans="2:32" x14ac:dyDescent="0.3">
      <c r="B32" s="33" t="s">
        <v>60</v>
      </c>
      <c r="C32" s="34" t="str">
        <f>C5</f>
        <v>Norway</v>
      </c>
      <c r="D32" s="39" t="s">
        <v>74</v>
      </c>
      <c r="E32" s="65">
        <v>1</v>
      </c>
      <c r="F32" s="61">
        <v>9.8400000000000001E-2</v>
      </c>
      <c r="G32" s="61">
        <v>0.24840000000000001</v>
      </c>
      <c r="H32" s="61">
        <v>0.44840000000000002</v>
      </c>
      <c r="I32" s="61">
        <v>0.64839999999999998</v>
      </c>
      <c r="J32" s="61">
        <v>0.84840000000000004</v>
      </c>
      <c r="K32" s="61">
        <v>1.0484</v>
      </c>
    </row>
    <row r="33" spans="2:11" x14ac:dyDescent="0.3">
      <c r="B33" s="35"/>
      <c r="C33" s="36"/>
      <c r="D33" s="39" t="s">
        <v>75</v>
      </c>
      <c r="E33" s="65">
        <v>1</v>
      </c>
      <c r="F33" s="61">
        <v>9.8400000000000001E-2</v>
      </c>
      <c r="G33" s="61">
        <v>0.24840000000000001</v>
      </c>
      <c r="H33" s="61">
        <v>0.44840000000000002</v>
      </c>
      <c r="I33" s="61">
        <v>0.64839999999999998</v>
      </c>
      <c r="J33" s="61">
        <v>0.84840000000000004</v>
      </c>
      <c r="K33" s="61">
        <v>1.0484</v>
      </c>
    </row>
    <row r="34" spans="2:11" ht="15" thickBot="1" x14ac:dyDescent="0.35">
      <c r="B34" s="43"/>
      <c r="C34" s="44"/>
      <c r="D34" s="66" t="s">
        <v>76</v>
      </c>
      <c r="E34" s="67">
        <v>1</v>
      </c>
      <c r="F34" s="68">
        <v>9.8400000000000001E-2</v>
      </c>
      <c r="G34" s="68">
        <v>0.24840000000000001</v>
      </c>
      <c r="H34" s="68">
        <v>0.44840000000000002</v>
      </c>
      <c r="I34" s="68">
        <v>0.64839999999999998</v>
      </c>
      <c r="J34" s="68">
        <v>0.84840000000000004</v>
      </c>
      <c r="K34" s="68">
        <v>1.0484</v>
      </c>
    </row>
    <row r="35" spans="2:11" x14ac:dyDescent="0.3">
      <c r="B35" s="83" t="s">
        <v>13</v>
      </c>
      <c r="C35" s="84" t="s">
        <v>102</v>
      </c>
      <c r="D35" s="85" t="s">
        <v>74</v>
      </c>
      <c r="E35" s="86">
        <v>2.4252425778728486E-4</v>
      </c>
      <c r="F35" s="87">
        <v>2.386438696626883E-5</v>
      </c>
      <c r="G35" s="87">
        <v>6.0243025634361562E-5</v>
      </c>
      <c r="H35" s="87">
        <v>1.0874787719181854E-4</v>
      </c>
      <c r="I35" s="87">
        <v>1.572527287492755E-4</v>
      </c>
      <c r="J35" s="87">
        <v>2.0575758030673248E-4</v>
      </c>
      <c r="K35" s="87">
        <v>2.5426243186418943E-4</v>
      </c>
    </row>
    <row r="36" spans="2:11" x14ac:dyDescent="0.3">
      <c r="B36" s="83"/>
      <c r="C36" s="84"/>
      <c r="D36" s="88" t="s">
        <v>75</v>
      </c>
      <c r="E36" s="89">
        <v>2.2651279844285725E-5</v>
      </c>
      <c r="F36" s="90">
        <v>2.2288859366777155E-6</v>
      </c>
      <c r="G36" s="90">
        <v>5.6265779133205743E-6</v>
      </c>
      <c r="H36" s="90">
        <v>1.0156833882177719E-5</v>
      </c>
      <c r="I36" s="90">
        <v>1.4687089851034863E-5</v>
      </c>
      <c r="J36" s="90">
        <v>1.9217345819892009E-5</v>
      </c>
      <c r="K36" s="90">
        <v>2.3747601788749154E-5</v>
      </c>
    </row>
    <row r="37" spans="2:11" x14ac:dyDescent="0.3">
      <c r="B37" s="83"/>
      <c r="C37" s="91"/>
      <c r="D37" s="88" t="s">
        <v>76</v>
      </c>
      <c r="E37" s="89">
        <v>2.6396871645283961E-4</v>
      </c>
      <c r="F37" s="90">
        <v>2.5974521698959419E-5</v>
      </c>
      <c r="G37" s="90">
        <v>6.5569829166885362E-5</v>
      </c>
      <c r="H37" s="90">
        <v>1.1836357245745329E-4</v>
      </c>
      <c r="I37" s="90">
        <v>1.711573157480212E-4</v>
      </c>
      <c r="J37" s="90">
        <v>2.2395105903858913E-4</v>
      </c>
      <c r="K37" s="90">
        <v>2.7674480232915704E-4</v>
      </c>
    </row>
    <row r="38" spans="2:11" x14ac:dyDescent="0.3">
      <c r="B38" s="92" t="s">
        <v>19</v>
      </c>
      <c r="C38" s="93" t="str">
        <f>C35</f>
        <v>Uganda</v>
      </c>
      <c r="D38" s="88" t="s">
        <v>74</v>
      </c>
      <c r="E38" s="94">
        <v>2.2665363507140988E-3</v>
      </c>
      <c r="F38" s="90">
        <v>2.2302717691026732E-4</v>
      </c>
      <c r="G38" s="90">
        <v>5.6300762951738215E-4</v>
      </c>
      <c r="H38" s="90">
        <v>1.016314899660202E-3</v>
      </c>
      <c r="I38" s="90">
        <v>1.4696221698030215E-3</v>
      </c>
      <c r="J38" s="90">
        <v>1.9229294399458416E-3</v>
      </c>
      <c r="K38" s="90">
        <v>2.3762367100886614E-3</v>
      </c>
    </row>
    <row r="39" spans="2:11" x14ac:dyDescent="0.3">
      <c r="B39" s="83"/>
      <c r="C39" s="83"/>
      <c r="D39" s="95" t="s">
        <v>75</v>
      </c>
      <c r="E39" s="94">
        <v>4.0035081664375512E-4</v>
      </c>
      <c r="F39" s="90">
        <v>3.9394520357745502E-5</v>
      </c>
      <c r="G39" s="90">
        <v>9.9447142854308771E-5</v>
      </c>
      <c r="H39" s="90">
        <v>1.795173061830598E-4</v>
      </c>
      <c r="I39" s="90">
        <v>2.5958746951181081E-4</v>
      </c>
      <c r="J39" s="90">
        <v>3.3965763284056185E-4</v>
      </c>
      <c r="K39" s="90">
        <v>4.1972779616931288E-4</v>
      </c>
    </row>
    <row r="40" spans="2:11" x14ac:dyDescent="0.3">
      <c r="B40" s="83"/>
      <c r="C40" s="96"/>
      <c r="D40" s="88" t="s">
        <v>76</v>
      </c>
      <c r="E40" s="94">
        <v>2.4112042449448111E-3</v>
      </c>
      <c r="F40" s="90">
        <v>2.3726249770256942E-4</v>
      </c>
      <c r="G40" s="90">
        <v>5.989431344442911E-4</v>
      </c>
      <c r="H40" s="90">
        <v>1.0811839834332533E-3</v>
      </c>
      <c r="I40" s="90">
        <v>1.5634248324222155E-3</v>
      </c>
      <c r="J40" s="90">
        <v>2.0456656814111778E-3</v>
      </c>
      <c r="K40" s="90">
        <v>2.5279065304001399E-3</v>
      </c>
    </row>
    <row r="41" spans="2:11" x14ac:dyDescent="0.3">
      <c r="B41" s="97" t="s">
        <v>24</v>
      </c>
      <c r="C41" s="98" t="str">
        <f>C35</f>
        <v>Uganda</v>
      </c>
      <c r="D41" s="88" t="s">
        <v>74</v>
      </c>
      <c r="E41" s="94">
        <v>2.302994914337891E-3</v>
      </c>
      <c r="F41" s="90">
        <v>2.2661469957084847E-4</v>
      </c>
      <c r="G41" s="90">
        <v>5.720639367215322E-4</v>
      </c>
      <c r="H41" s="90">
        <v>1.0326629195891103E-3</v>
      </c>
      <c r="I41" s="90">
        <v>1.4932619024566884E-3</v>
      </c>
      <c r="J41" s="90">
        <v>1.953860885324267E-3</v>
      </c>
      <c r="K41" s="90">
        <v>2.4144598681918451E-3</v>
      </c>
    </row>
    <row r="42" spans="2:11" x14ac:dyDescent="0.3">
      <c r="B42" s="83"/>
      <c r="C42" s="96"/>
      <c r="D42" s="88" t="s">
        <v>75</v>
      </c>
      <c r="E42" s="94">
        <v>4.0865696472310476E-4</v>
      </c>
      <c r="F42" s="90">
        <v>4.0211845328753507E-5</v>
      </c>
      <c r="G42" s="90">
        <v>1.0151039003721922E-4</v>
      </c>
      <c r="H42" s="90">
        <v>1.8324178298184017E-4</v>
      </c>
      <c r="I42" s="90">
        <v>2.6497317592646111E-4</v>
      </c>
      <c r="J42" s="90">
        <v>3.4670456887108211E-4</v>
      </c>
      <c r="K42" s="90">
        <v>4.2843596181570305E-4</v>
      </c>
    </row>
    <row r="43" spans="2:11" x14ac:dyDescent="0.3">
      <c r="B43" s="83"/>
      <c r="C43" s="96"/>
      <c r="D43" s="88" t="s">
        <v>76</v>
      </c>
      <c r="E43" s="94">
        <v>2.4495866505894943E-3</v>
      </c>
      <c r="F43" s="90">
        <v>2.4103932641800625E-4</v>
      </c>
      <c r="G43" s="90">
        <v>6.0847732400643036E-4</v>
      </c>
      <c r="H43" s="90">
        <v>1.0983946541243293E-3</v>
      </c>
      <c r="I43" s="90">
        <v>1.5883119842422281E-3</v>
      </c>
      <c r="J43" s="90">
        <v>2.0782293143601269E-3</v>
      </c>
      <c r="K43" s="90">
        <v>2.568146644478026E-3</v>
      </c>
    </row>
    <row r="44" spans="2:11" x14ac:dyDescent="0.3">
      <c r="B44" s="97" t="s">
        <v>30</v>
      </c>
      <c r="C44" s="98" t="str">
        <f>C35</f>
        <v>Uganda</v>
      </c>
      <c r="D44" s="88" t="s">
        <v>74</v>
      </c>
      <c r="E44" s="94">
        <v>5.0187962685080464E-3</v>
      </c>
      <c r="F44" s="90">
        <v>4.938495528211918E-4</v>
      </c>
      <c r="G44" s="90">
        <v>1.2466689930973988E-3</v>
      </c>
      <c r="H44" s="90">
        <v>2.2504282467990079E-3</v>
      </c>
      <c r="I44" s="90">
        <v>3.254187500500617E-3</v>
      </c>
      <c r="J44" s="90">
        <v>4.257946754202227E-3</v>
      </c>
      <c r="K44" s="90">
        <v>5.2617060079038361E-3</v>
      </c>
    </row>
    <row r="45" spans="2:11" x14ac:dyDescent="0.3">
      <c r="B45" s="83"/>
      <c r="C45" s="96"/>
      <c r="D45" s="88" t="s">
        <v>75</v>
      </c>
      <c r="E45" s="94">
        <v>1.1146430656953053E-3</v>
      </c>
      <c r="F45" s="90">
        <v>1.0968087766441805E-4</v>
      </c>
      <c r="G45" s="90">
        <v>2.7687733751871385E-4</v>
      </c>
      <c r="H45" s="90">
        <v>4.9980595065777492E-4</v>
      </c>
      <c r="I45" s="90">
        <v>7.2273456379683598E-4</v>
      </c>
      <c r="J45" s="90">
        <v>9.4566317693589705E-4</v>
      </c>
      <c r="K45" s="90">
        <v>1.168591790074958E-3</v>
      </c>
    </row>
    <row r="46" spans="2:11" x14ac:dyDescent="0.3">
      <c r="B46" s="84"/>
      <c r="C46" s="99"/>
      <c r="D46" s="88" t="s">
        <v>76</v>
      </c>
      <c r="E46" s="94">
        <v>5.29527979212863E-3</v>
      </c>
      <c r="F46" s="90">
        <v>5.2105553154545715E-4</v>
      </c>
      <c r="G46" s="90">
        <v>1.3153475003647517E-3</v>
      </c>
      <c r="H46" s="90">
        <v>2.374403458790478E-3</v>
      </c>
      <c r="I46" s="90">
        <v>3.4334594172162037E-3</v>
      </c>
      <c r="J46" s="90">
        <v>4.4925153756419298E-3</v>
      </c>
      <c r="K46" s="90">
        <v>5.5515713340676554E-3</v>
      </c>
    </row>
    <row r="47" spans="2:11" x14ac:dyDescent="0.3">
      <c r="B47" s="97" t="s">
        <v>46</v>
      </c>
      <c r="C47" s="98" t="str">
        <f>C35</f>
        <v>Uganda</v>
      </c>
      <c r="D47" s="88" t="s">
        <v>74</v>
      </c>
      <c r="E47" s="94">
        <v>1.1356912648252128E-2</v>
      </c>
      <c r="F47" s="90">
        <v>1.1175202045880094E-3</v>
      </c>
      <c r="G47" s="90">
        <v>2.8210571018258287E-3</v>
      </c>
      <c r="H47" s="90">
        <v>5.0924396314762539E-3</v>
      </c>
      <c r="I47" s="90">
        <v>7.3638221611266796E-3</v>
      </c>
      <c r="J47" s="90">
        <v>9.6352046907771053E-3</v>
      </c>
      <c r="K47" s="90">
        <v>1.190658722042753E-2</v>
      </c>
    </row>
    <row r="48" spans="2:11" x14ac:dyDescent="0.3">
      <c r="B48" s="83"/>
      <c r="C48" s="96"/>
      <c r="D48" s="88" t="s">
        <v>75</v>
      </c>
      <c r="E48" s="94">
        <v>3.2021032060767312E-3</v>
      </c>
      <c r="F48" s="90">
        <v>3.1508695547795035E-4</v>
      </c>
      <c r="G48" s="90">
        <v>7.9540243638946001E-4</v>
      </c>
      <c r="H48" s="90">
        <v>1.4358230776048064E-3</v>
      </c>
      <c r="I48" s="90">
        <v>2.0762437188201525E-3</v>
      </c>
      <c r="J48" s="90">
        <v>2.716664360035499E-3</v>
      </c>
      <c r="K48" s="90">
        <v>3.357085001250845E-3</v>
      </c>
    </row>
    <row r="49" spans="2:11" x14ac:dyDescent="0.3">
      <c r="B49" s="83"/>
      <c r="C49" s="96"/>
      <c r="D49" s="88" t="s">
        <v>76</v>
      </c>
      <c r="E49" s="94">
        <v>1.1879621437672698E-2</v>
      </c>
      <c r="F49" s="90">
        <v>1.1689547494669935E-3</v>
      </c>
      <c r="G49" s="90">
        <v>2.9508979651178984E-3</v>
      </c>
      <c r="H49" s="90">
        <v>5.3268222526524382E-3</v>
      </c>
      <c r="I49" s="90">
        <v>7.7027465401869775E-3</v>
      </c>
      <c r="J49" s="90">
        <v>1.0078670827721518E-2</v>
      </c>
      <c r="K49" s="90">
        <v>1.2454595115256057E-2</v>
      </c>
    </row>
    <row r="50" spans="2:11" x14ac:dyDescent="0.3">
      <c r="B50" s="97" t="s">
        <v>50</v>
      </c>
      <c r="C50" s="98" t="str">
        <f>C35</f>
        <v>Uganda</v>
      </c>
      <c r="D50" s="88" t="s">
        <v>74</v>
      </c>
      <c r="E50" s="94">
        <v>2.6260365408713834E-2</v>
      </c>
      <c r="F50" s="90">
        <v>2.5840199562174415E-3</v>
      </c>
      <c r="G50" s="90">
        <v>6.5230747675245164E-3</v>
      </c>
      <c r="H50" s="90">
        <v>1.1775147849267285E-2</v>
      </c>
      <c r="I50" s="90">
        <v>1.7027220931010049E-2</v>
      </c>
      <c r="J50" s="90">
        <v>2.2279294012752818E-2</v>
      </c>
      <c r="K50" s="90">
        <v>2.7531367094495583E-2</v>
      </c>
    </row>
    <row r="51" spans="2:11" x14ac:dyDescent="0.3">
      <c r="B51" s="83"/>
      <c r="C51" s="96"/>
      <c r="D51" s="88" t="s">
        <v>75</v>
      </c>
      <c r="E51" s="94">
        <v>9.5260175894810277E-3</v>
      </c>
      <c r="F51" s="90">
        <v>9.3736013080493311E-4</v>
      </c>
      <c r="G51" s="90">
        <v>2.3662627692270875E-3</v>
      </c>
      <c r="H51" s="90">
        <v>4.2714662871232928E-3</v>
      </c>
      <c r="I51" s="90">
        <v>6.1766698050194982E-3</v>
      </c>
      <c r="J51" s="90">
        <v>8.0818733229157044E-3</v>
      </c>
      <c r="K51" s="90">
        <v>9.9870768408119089E-3</v>
      </c>
    </row>
    <row r="52" spans="2:11" x14ac:dyDescent="0.3">
      <c r="B52" s="83"/>
      <c r="C52" s="96"/>
      <c r="D52" s="88" t="s">
        <v>76</v>
      </c>
      <c r="E52" s="94">
        <v>2.7218916781333875E-2</v>
      </c>
      <c r="F52" s="90">
        <v>2.6783414112832534E-3</v>
      </c>
      <c r="G52" s="90">
        <v>6.761178928483335E-3</v>
      </c>
      <c r="H52" s="90">
        <v>1.220496228475011E-2</v>
      </c>
      <c r="I52" s="90">
        <v>1.7648745641016886E-2</v>
      </c>
      <c r="J52" s="90">
        <v>2.3092528997283659E-2</v>
      </c>
      <c r="K52" s="90">
        <v>2.8536312353550433E-2</v>
      </c>
    </row>
    <row r="53" spans="2:11" x14ac:dyDescent="0.3">
      <c r="B53" s="97" t="s">
        <v>53</v>
      </c>
      <c r="C53" s="98" t="str">
        <f>C35</f>
        <v>Uganda</v>
      </c>
      <c r="D53" s="88" t="s">
        <v>74</v>
      </c>
      <c r="E53" s="94">
        <v>4.8911985187282445E-2</v>
      </c>
      <c r="F53" s="90">
        <v>4.8129393424285929E-3</v>
      </c>
      <c r="G53" s="90">
        <v>1.214973712052096E-2</v>
      </c>
      <c r="H53" s="90">
        <v>2.193213415797745E-2</v>
      </c>
      <c r="I53" s="90">
        <v>3.1714531195433937E-2</v>
      </c>
      <c r="J53" s="90">
        <v>4.1496928232890432E-2</v>
      </c>
      <c r="K53" s="90">
        <v>5.1279325270346912E-2</v>
      </c>
    </row>
    <row r="54" spans="2:11" x14ac:dyDescent="0.3">
      <c r="B54" s="83"/>
      <c r="C54" s="96"/>
      <c r="D54" s="88" t="s">
        <v>75</v>
      </c>
      <c r="E54" s="94">
        <v>2.1569997423377354E-2</v>
      </c>
      <c r="F54" s="90">
        <v>2.1224877464603316E-3</v>
      </c>
      <c r="G54" s="90">
        <v>5.3579873599669354E-3</v>
      </c>
      <c r="H54" s="90">
        <v>9.6719868446424068E-3</v>
      </c>
      <c r="I54" s="90">
        <v>1.3985986329317876E-2</v>
      </c>
      <c r="J54" s="90">
        <v>1.829998581399335E-2</v>
      </c>
      <c r="K54" s="90">
        <v>2.2613985298668818E-2</v>
      </c>
    </row>
    <row r="55" spans="2:11" x14ac:dyDescent="0.3">
      <c r="B55" s="83"/>
      <c r="C55" s="96"/>
      <c r="D55" s="88" t="s">
        <v>76</v>
      </c>
      <c r="E55" s="94">
        <v>5.0339085616476001E-2</v>
      </c>
      <c r="F55" s="90">
        <v>4.9533660246612382E-3</v>
      </c>
      <c r="G55" s="90">
        <v>1.2504228867132639E-2</v>
      </c>
      <c r="H55" s="90">
        <v>2.2572045990427839E-2</v>
      </c>
      <c r="I55" s="90">
        <v>3.2639863113723036E-2</v>
      </c>
      <c r="J55" s="90">
        <v>4.2707680237018243E-2</v>
      </c>
      <c r="K55" s="90">
        <v>5.2775497360313436E-2</v>
      </c>
    </row>
    <row r="56" spans="2:11" x14ac:dyDescent="0.3">
      <c r="B56" s="97" t="s">
        <v>55</v>
      </c>
      <c r="C56" s="98" t="str">
        <f>C35</f>
        <v>Uganda</v>
      </c>
      <c r="D56" s="88" t="s">
        <v>74</v>
      </c>
      <c r="E56" s="94">
        <v>0.12499525772148808</v>
      </c>
      <c r="F56" s="90">
        <v>1.2299533359794427E-2</v>
      </c>
      <c r="G56" s="90">
        <v>3.104882201801764E-2</v>
      </c>
      <c r="H56" s="90">
        <v>5.6047873562315255E-2</v>
      </c>
      <c r="I56" s="90">
        <v>8.1046925106612863E-2</v>
      </c>
      <c r="J56" s="90">
        <v>0.10604597665091049</v>
      </c>
      <c r="K56" s="90">
        <v>0.13104502819520811</v>
      </c>
    </row>
    <row r="57" spans="2:11" x14ac:dyDescent="0.3">
      <c r="B57" s="83"/>
      <c r="C57" s="96"/>
      <c r="D57" s="88" t="s">
        <v>75</v>
      </c>
      <c r="E57" s="94">
        <v>7.5742665687987126E-2</v>
      </c>
      <c r="F57" s="90">
        <v>7.4530783036979333E-3</v>
      </c>
      <c r="G57" s="90">
        <v>1.8814478156896002E-2</v>
      </c>
      <c r="H57" s="90">
        <v>3.3963011294493431E-2</v>
      </c>
      <c r="I57" s="90">
        <v>4.9111544432090849E-2</v>
      </c>
      <c r="J57" s="90">
        <v>6.4260077569688281E-2</v>
      </c>
      <c r="K57" s="90">
        <v>7.9408610707285707E-2</v>
      </c>
    </row>
    <row r="58" spans="2:11" x14ac:dyDescent="0.3">
      <c r="B58" s="83"/>
      <c r="C58" s="96"/>
      <c r="D58" s="88" t="s">
        <v>76</v>
      </c>
      <c r="E58" s="94">
        <v>0.12718257554166837</v>
      </c>
      <c r="F58" s="90">
        <v>1.2514765433300167E-2</v>
      </c>
      <c r="G58" s="90">
        <v>3.1592151764550422E-2</v>
      </c>
      <c r="H58" s="90">
        <v>5.7028666872884097E-2</v>
      </c>
      <c r="I58" s="90">
        <v>8.2465181981217772E-2</v>
      </c>
      <c r="J58" s="90">
        <v>0.10790169708955145</v>
      </c>
      <c r="K58" s="90">
        <v>0.13333821219788511</v>
      </c>
    </row>
    <row r="59" spans="2:11" x14ac:dyDescent="0.3">
      <c r="B59" s="97" t="s">
        <v>58</v>
      </c>
      <c r="C59" s="98" t="str">
        <f>C35</f>
        <v>Uganda</v>
      </c>
      <c r="D59" s="88" t="s">
        <v>74</v>
      </c>
      <c r="E59" s="94">
        <v>0.48422443799436232</v>
      </c>
      <c r="F59" s="90">
        <v>4.7647684698645255E-2</v>
      </c>
      <c r="G59" s="90">
        <v>0.12028135039779961</v>
      </c>
      <c r="H59" s="90">
        <v>0.21712623799667208</v>
      </c>
      <c r="I59" s="90">
        <v>0.31397112559554452</v>
      </c>
      <c r="J59" s="90">
        <v>0.41081601319441702</v>
      </c>
      <c r="K59" s="90">
        <v>0.5076609007932894</v>
      </c>
    </row>
    <row r="60" spans="2:11" x14ac:dyDescent="0.3">
      <c r="B60" s="83"/>
      <c r="C60" s="96"/>
      <c r="D60" s="88" t="s">
        <v>75</v>
      </c>
      <c r="E60" s="94">
        <v>0.47971969976318474</v>
      </c>
      <c r="F60" s="90">
        <v>4.7204418456697379E-2</v>
      </c>
      <c r="G60" s="90">
        <v>0.1191623734211751</v>
      </c>
      <c r="H60" s="90">
        <v>0.21510631337381206</v>
      </c>
      <c r="I60" s="90">
        <v>0.31105025332644898</v>
      </c>
      <c r="J60" s="90">
        <v>0.40699419327908593</v>
      </c>
      <c r="K60" s="90">
        <v>0.50293813323172287</v>
      </c>
    </row>
    <row r="61" spans="2:11" x14ac:dyDescent="0.3">
      <c r="B61" s="83"/>
      <c r="C61" s="96"/>
      <c r="D61" s="88" t="s">
        <v>76</v>
      </c>
      <c r="E61" s="94">
        <v>0.48438537338631116</v>
      </c>
      <c r="F61" s="90">
        <v>4.7663520741213015E-2</v>
      </c>
      <c r="G61" s="90">
        <v>0.1203213267491597</v>
      </c>
      <c r="H61" s="90">
        <v>0.21719840142642194</v>
      </c>
      <c r="I61" s="90">
        <v>0.31407547610368414</v>
      </c>
      <c r="J61" s="90">
        <v>0.41095255078094639</v>
      </c>
      <c r="K61" s="90">
        <v>0.50782962545820864</v>
      </c>
    </row>
    <row r="62" spans="2:11" x14ac:dyDescent="0.3">
      <c r="B62" s="97" t="s">
        <v>60</v>
      </c>
      <c r="C62" s="98" t="str">
        <f>C35</f>
        <v>Uganda</v>
      </c>
      <c r="D62" s="88" t="s">
        <v>74</v>
      </c>
      <c r="E62" s="100">
        <v>1</v>
      </c>
      <c r="F62" s="90">
        <v>9.8400000000000001E-2</v>
      </c>
      <c r="G62" s="90">
        <v>0.24840000000000001</v>
      </c>
      <c r="H62" s="90">
        <v>0.44840000000000002</v>
      </c>
      <c r="I62" s="90">
        <v>0.64839999999999998</v>
      </c>
      <c r="J62" s="90">
        <v>0.84840000000000004</v>
      </c>
      <c r="K62" s="90">
        <v>1.0484</v>
      </c>
    </row>
    <row r="63" spans="2:11" x14ac:dyDescent="0.3">
      <c r="B63" s="83"/>
      <c r="C63" s="96"/>
      <c r="D63" s="88" t="s">
        <v>75</v>
      </c>
      <c r="E63" s="100">
        <v>1</v>
      </c>
      <c r="F63" s="90">
        <v>9.8400000000000001E-2</v>
      </c>
      <c r="G63" s="90">
        <v>0.24840000000000001</v>
      </c>
      <c r="H63" s="90">
        <v>0.44840000000000002</v>
      </c>
      <c r="I63" s="90">
        <v>0.64839999999999998</v>
      </c>
      <c r="J63" s="90">
        <v>0.84840000000000004</v>
      </c>
      <c r="K63" s="90">
        <v>1.0484</v>
      </c>
    </row>
    <row r="64" spans="2:11" ht="15" thickBot="1" x14ac:dyDescent="0.35">
      <c r="B64" s="101"/>
      <c r="C64" s="102"/>
      <c r="D64" s="103" t="s">
        <v>76</v>
      </c>
      <c r="E64" s="104">
        <v>1</v>
      </c>
      <c r="F64" s="105">
        <v>9.8400000000000001E-2</v>
      </c>
      <c r="G64" s="105">
        <v>0.24840000000000001</v>
      </c>
      <c r="H64" s="105">
        <v>0.44840000000000002</v>
      </c>
      <c r="I64" s="105">
        <v>0.64839999999999998</v>
      </c>
      <c r="J64" s="105">
        <v>0.84840000000000004</v>
      </c>
      <c r="K64" s="105">
        <v>1.0484</v>
      </c>
    </row>
    <row r="65" spans="2:11" x14ac:dyDescent="0.3">
      <c r="B65" s="35" t="s">
        <v>13</v>
      </c>
      <c r="C65" s="41" t="s">
        <v>104</v>
      </c>
      <c r="D65" s="106" t="s">
        <v>74</v>
      </c>
      <c r="E65" s="107">
        <v>1.8973261528412813E-3</v>
      </c>
      <c r="F65" s="108">
        <v>1.8669689343958209E-4</v>
      </c>
      <c r="G65" s="108">
        <v>4.7129581636577429E-4</v>
      </c>
      <c r="H65" s="108">
        <v>8.5076104693403056E-4</v>
      </c>
      <c r="I65" s="108">
        <v>1.2302262775022866E-3</v>
      </c>
      <c r="J65" s="108">
        <v>1.609691508070543E-3</v>
      </c>
      <c r="K65" s="108">
        <v>1.9891567386387992E-3</v>
      </c>
    </row>
    <row r="66" spans="2:11" x14ac:dyDescent="0.3">
      <c r="B66" s="35"/>
      <c r="C66" s="41"/>
      <c r="D66" s="39" t="s">
        <v>75</v>
      </c>
      <c r="E66" s="63">
        <v>7.446537164153066E-5</v>
      </c>
      <c r="F66" s="61">
        <v>7.3273925695266173E-6</v>
      </c>
      <c r="G66" s="61">
        <v>1.8497198315756218E-5</v>
      </c>
      <c r="H66" s="61">
        <v>3.3390272644062346E-5</v>
      </c>
      <c r="I66" s="61">
        <v>4.8283346972368478E-5</v>
      </c>
      <c r="J66" s="61">
        <v>6.317642130067461E-5</v>
      </c>
      <c r="K66" s="61">
        <v>7.8069495628980742E-5</v>
      </c>
    </row>
    <row r="67" spans="2:11" x14ac:dyDescent="0.3">
      <c r="B67" s="35"/>
      <c r="C67" s="59"/>
      <c r="D67" s="39" t="s">
        <v>76</v>
      </c>
      <c r="E67" s="63">
        <v>1.4082945350954983E-3</v>
      </c>
      <c r="F67" s="61">
        <v>1.3857618225339704E-4</v>
      </c>
      <c r="G67" s="61">
        <v>3.4982036251772182E-4</v>
      </c>
      <c r="H67" s="61">
        <v>6.3147926953682147E-4</v>
      </c>
      <c r="I67" s="61">
        <v>9.1313817655592111E-4</v>
      </c>
      <c r="J67" s="61">
        <v>1.1947970835750209E-3</v>
      </c>
      <c r="K67" s="61">
        <v>1.4764559905941204E-3</v>
      </c>
    </row>
    <row r="68" spans="2:11" x14ac:dyDescent="0.3">
      <c r="B68" s="37" t="s">
        <v>19</v>
      </c>
      <c r="C68" s="38" t="str">
        <f>C65</f>
        <v>United States</v>
      </c>
      <c r="D68" s="39" t="s">
        <v>74</v>
      </c>
      <c r="E68" s="40">
        <v>1.0140733889834795E-2</v>
      </c>
      <c r="F68" s="61">
        <v>9.9784821475974381E-4</v>
      </c>
      <c r="G68" s="61">
        <v>2.5189582982349632E-3</v>
      </c>
      <c r="H68" s="61">
        <v>4.5471050762019224E-3</v>
      </c>
      <c r="I68" s="61">
        <v>6.5752518541688813E-3</v>
      </c>
      <c r="J68" s="61">
        <v>8.6033986321358401E-3</v>
      </c>
      <c r="K68" s="61">
        <v>1.06315454101028E-2</v>
      </c>
    </row>
    <row r="69" spans="2:11" x14ac:dyDescent="0.3">
      <c r="B69" s="35"/>
      <c r="C69" s="35"/>
      <c r="D69" s="64" t="s">
        <v>75</v>
      </c>
      <c r="E69" s="40">
        <v>9.5513518243885262E-4</v>
      </c>
      <c r="F69" s="61">
        <v>9.39853019519831E-5</v>
      </c>
      <c r="G69" s="61">
        <v>2.37255579317811E-4</v>
      </c>
      <c r="H69" s="61">
        <v>4.2828261580558154E-4</v>
      </c>
      <c r="I69" s="61">
        <v>6.19309652293352E-4</v>
      </c>
      <c r="J69" s="61">
        <v>8.1033668878112257E-4</v>
      </c>
      <c r="K69" s="61">
        <v>1.001363725268893E-3</v>
      </c>
    </row>
    <row r="70" spans="2:11" x14ac:dyDescent="0.3">
      <c r="B70" s="35"/>
      <c r="C70" s="36"/>
      <c r="D70" s="39" t="s">
        <v>76</v>
      </c>
      <c r="E70" s="40">
        <v>8.1664156755593426E-3</v>
      </c>
      <c r="F70" s="61">
        <v>8.0357530247503932E-4</v>
      </c>
      <c r="G70" s="61">
        <v>2.028537653808941E-3</v>
      </c>
      <c r="H70" s="61">
        <v>3.6618207889208094E-3</v>
      </c>
      <c r="I70" s="61">
        <v>5.2951039240326774E-3</v>
      </c>
      <c r="J70" s="61">
        <v>6.9283870591445463E-3</v>
      </c>
      <c r="K70" s="61">
        <v>8.5616701942564152E-3</v>
      </c>
    </row>
    <row r="71" spans="2:11" x14ac:dyDescent="0.3">
      <c r="B71" s="33" t="s">
        <v>24</v>
      </c>
      <c r="C71" s="34" t="str">
        <f>C65</f>
        <v>United States</v>
      </c>
      <c r="D71" s="39" t="s">
        <v>74</v>
      </c>
      <c r="E71" s="40">
        <v>1.0262319489815113E-2</v>
      </c>
      <c r="F71" s="61">
        <v>1.0098122377978072E-3</v>
      </c>
      <c r="G71" s="61">
        <v>2.5491601612700741E-3</v>
      </c>
      <c r="H71" s="61">
        <v>4.6016240592330971E-3</v>
      </c>
      <c r="I71" s="61">
        <v>6.6540879571961187E-3</v>
      </c>
      <c r="J71" s="61">
        <v>8.7065518551591413E-3</v>
      </c>
      <c r="K71" s="61">
        <v>1.0759015753122164E-2</v>
      </c>
    </row>
    <row r="72" spans="2:11" x14ac:dyDescent="0.3">
      <c r="B72" s="35"/>
      <c r="C72" s="36"/>
      <c r="D72" s="39" t="s">
        <v>75</v>
      </c>
      <c r="E72" s="40">
        <v>9.727140068610115E-4</v>
      </c>
      <c r="F72" s="61">
        <v>9.5715058275123538E-5</v>
      </c>
      <c r="G72" s="61">
        <v>2.4162215930427527E-4</v>
      </c>
      <c r="H72" s="61">
        <v>4.3616496067647756E-4</v>
      </c>
      <c r="I72" s="61">
        <v>6.3070776204867979E-4</v>
      </c>
      <c r="J72" s="61">
        <v>8.2525056342088224E-4</v>
      </c>
      <c r="K72" s="61">
        <v>1.0197933647930844E-3</v>
      </c>
    </row>
    <row r="73" spans="2:11" x14ac:dyDescent="0.3">
      <c r="B73" s="35"/>
      <c r="C73" s="36"/>
      <c r="D73" s="39" t="s">
        <v>76</v>
      </c>
      <c r="E73" s="40">
        <v>8.2692229962050834E-3</v>
      </c>
      <c r="F73" s="61">
        <v>8.1369154282658019E-4</v>
      </c>
      <c r="G73" s="61">
        <v>2.0540749922573426E-3</v>
      </c>
      <c r="H73" s="61">
        <v>3.7079195914983595E-3</v>
      </c>
      <c r="I73" s="61">
        <v>5.3617641907393754E-3</v>
      </c>
      <c r="J73" s="61">
        <v>7.0156087899803932E-3</v>
      </c>
      <c r="K73" s="61">
        <v>8.6694533892214092E-3</v>
      </c>
    </row>
    <row r="74" spans="2:11" x14ac:dyDescent="0.3">
      <c r="B74" s="33" t="s">
        <v>30</v>
      </c>
      <c r="C74" s="34" t="str">
        <f>C65</f>
        <v>United States</v>
      </c>
      <c r="D74" s="39" t="s">
        <v>74</v>
      </c>
      <c r="E74" s="40">
        <v>1.833423547020973E-2</v>
      </c>
      <c r="F74" s="61">
        <v>1.8040887702686374E-3</v>
      </c>
      <c r="G74" s="61">
        <v>4.5542240908000974E-3</v>
      </c>
      <c r="H74" s="61">
        <v>8.2210711848420426E-3</v>
      </c>
      <c r="I74" s="61">
        <v>1.1887918278883988E-2</v>
      </c>
      <c r="J74" s="61">
        <v>1.5554765372925935E-2</v>
      </c>
      <c r="K74" s="61">
        <v>1.922161246696788E-2</v>
      </c>
    </row>
    <row r="75" spans="2:11" x14ac:dyDescent="0.3">
      <c r="B75" s="35"/>
      <c r="C75" s="36"/>
      <c r="D75" s="39" t="s">
        <v>75</v>
      </c>
      <c r="E75" s="40">
        <v>2.3707774379432508E-3</v>
      </c>
      <c r="F75" s="61">
        <v>2.3328449989361589E-4</v>
      </c>
      <c r="G75" s="61">
        <v>5.8890111558510352E-4</v>
      </c>
      <c r="H75" s="61">
        <v>1.0630566031737537E-3</v>
      </c>
      <c r="I75" s="61">
        <v>1.5372120907624037E-3</v>
      </c>
      <c r="J75" s="61">
        <v>2.0113675783510541E-3</v>
      </c>
      <c r="K75" s="61">
        <v>2.4855230659397041E-3</v>
      </c>
    </row>
    <row r="76" spans="2:11" x14ac:dyDescent="0.3">
      <c r="B76" s="41"/>
      <c r="C76" s="42"/>
      <c r="D76" s="39" t="s">
        <v>76</v>
      </c>
      <c r="E76" s="40">
        <v>1.521069536465677E-2</v>
      </c>
      <c r="F76" s="61">
        <v>1.4967324238822262E-3</v>
      </c>
      <c r="G76" s="61">
        <v>3.7783367285807419E-3</v>
      </c>
      <c r="H76" s="61">
        <v>6.8204758015120957E-3</v>
      </c>
      <c r="I76" s="61">
        <v>9.8626148744434487E-3</v>
      </c>
      <c r="J76" s="61">
        <v>1.2904753947374803E-2</v>
      </c>
      <c r="K76" s="61">
        <v>1.5946893020306156E-2</v>
      </c>
    </row>
    <row r="77" spans="2:11" x14ac:dyDescent="0.3">
      <c r="B77" s="33" t="s">
        <v>46</v>
      </c>
      <c r="C77" s="34" t="str">
        <f>C65</f>
        <v>United States</v>
      </c>
      <c r="D77" s="39" t="s">
        <v>74</v>
      </c>
      <c r="E77" s="40">
        <v>3.3538041376627713E-2</v>
      </c>
      <c r="F77" s="61">
        <v>3.300143271460167E-3</v>
      </c>
      <c r="G77" s="61">
        <v>8.330849477954325E-3</v>
      </c>
      <c r="H77" s="61">
        <v>1.5038457753279867E-2</v>
      </c>
      <c r="I77" s="61">
        <v>2.1746066028605408E-2</v>
      </c>
      <c r="J77" s="61">
        <v>2.8453674303930952E-2</v>
      </c>
      <c r="K77" s="61">
        <v>3.5161282579256492E-2</v>
      </c>
    </row>
    <row r="78" spans="2:11" x14ac:dyDescent="0.3">
      <c r="B78" s="35"/>
      <c r="C78" s="36"/>
      <c r="D78" s="39" t="s">
        <v>75</v>
      </c>
      <c r="E78" s="40">
        <v>6.0445740030291321E-3</v>
      </c>
      <c r="F78" s="61">
        <v>5.947860818980666E-4</v>
      </c>
      <c r="G78" s="61">
        <v>1.5014721823524365E-3</v>
      </c>
      <c r="H78" s="61">
        <v>2.7103869829582629E-3</v>
      </c>
      <c r="I78" s="61">
        <v>3.9193017835640895E-3</v>
      </c>
      <c r="J78" s="61">
        <v>5.1282165841699161E-3</v>
      </c>
      <c r="K78" s="61">
        <v>6.3371313847757418E-3</v>
      </c>
    </row>
    <row r="79" spans="2:11" x14ac:dyDescent="0.3">
      <c r="B79" s="35"/>
      <c r="C79" s="36"/>
      <c r="D79" s="39" t="s">
        <v>76</v>
      </c>
      <c r="E79" s="40">
        <v>2.8709145913268629E-2</v>
      </c>
      <c r="F79" s="61">
        <v>2.8249799578656332E-3</v>
      </c>
      <c r="G79" s="61">
        <v>7.1313518448559276E-3</v>
      </c>
      <c r="H79" s="61">
        <v>1.2873181027509653E-2</v>
      </c>
      <c r="I79" s="61">
        <v>1.8615010210163378E-2</v>
      </c>
      <c r="J79" s="61">
        <v>2.4356839392817107E-2</v>
      </c>
      <c r="K79" s="61">
        <v>3.0098668575470829E-2</v>
      </c>
    </row>
    <row r="80" spans="2:11" x14ac:dyDescent="0.3">
      <c r="B80" s="33" t="s">
        <v>50</v>
      </c>
      <c r="C80" s="34" t="str">
        <f>C65</f>
        <v>United States</v>
      </c>
      <c r="D80" s="39" t="s">
        <v>74</v>
      </c>
      <c r="E80" s="40">
        <v>6.1883362578760655E-2</v>
      </c>
      <c r="F80" s="61">
        <v>6.0893228777500483E-3</v>
      </c>
      <c r="G80" s="61">
        <v>1.5371827264564148E-2</v>
      </c>
      <c r="H80" s="61">
        <v>2.774849978031628E-2</v>
      </c>
      <c r="I80" s="61">
        <v>4.0125172296068407E-2</v>
      </c>
      <c r="J80" s="61">
        <v>5.250184481182054E-2</v>
      </c>
      <c r="K80" s="61">
        <v>6.4878517327572674E-2</v>
      </c>
    </row>
    <row r="81" spans="2:11" x14ac:dyDescent="0.3">
      <c r="B81" s="35"/>
      <c r="C81" s="36"/>
      <c r="D81" s="39" t="s">
        <v>75</v>
      </c>
      <c r="E81" s="40">
        <v>1.5859392692024334E-2</v>
      </c>
      <c r="F81" s="61">
        <v>1.5605642408951944E-3</v>
      </c>
      <c r="G81" s="61">
        <v>3.9394731446988447E-3</v>
      </c>
      <c r="H81" s="61">
        <v>7.1113516831037117E-3</v>
      </c>
      <c r="I81" s="61">
        <v>1.0283230221508578E-2</v>
      </c>
      <c r="J81" s="61">
        <v>1.3455108759913445E-2</v>
      </c>
      <c r="K81" s="61">
        <v>1.662698729831831E-2</v>
      </c>
    </row>
    <row r="82" spans="2:11" x14ac:dyDescent="0.3">
      <c r="B82" s="35"/>
      <c r="C82" s="36"/>
      <c r="D82" s="39" t="s">
        <v>76</v>
      </c>
      <c r="E82" s="40">
        <v>5.4760739880871857E-2</v>
      </c>
      <c r="F82" s="61">
        <v>5.3884568042777909E-3</v>
      </c>
      <c r="G82" s="61">
        <v>1.360256778640857E-2</v>
      </c>
      <c r="H82" s="61">
        <v>2.4554715762582943E-2</v>
      </c>
      <c r="I82" s="61">
        <v>3.5506863738757312E-2</v>
      </c>
      <c r="J82" s="61">
        <v>4.6459011714931685E-2</v>
      </c>
      <c r="K82" s="61">
        <v>5.7411159691106058E-2</v>
      </c>
    </row>
    <row r="83" spans="2:11" x14ac:dyDescent="0.3">
      <c r="B83" s="33" t="s">
        <v>53</v>
      </c>
      <c r="C83" s="34" t="str">
        <f>C65</f>
        <v>United States</v>
      </c>
      <c r="D83" s="39" t="s">
        <v>74</v>
      </c>
      <c r="E83" s="40">
        <v>9.6842179807188469E-2</v>
      </c>
      <c r="F83" s="61">
        <v>9.5292704930273458E-3</v>
      </c>
      <c r="G83" s="61">
        <v>2.4055597464105617E-2</v>
      </c>
      <c r="H83" s="61">
        <v>4.342403342554331E-2</v>
      </c>
      <c r="I83" s="61">
        <v>6.2792469386981006E-2</v>
      </c>
      <c r="J83" s="61">
        <v>8.2160905348418703E-2</v>
      </c>
      <c r="K83" s="61">
        <v>0.10152934130985639</v>
      </c>
    </row>
    <row r="84" spans="2:11" x14ac:dyDescent="0.3">
      <c r="B84" s="35"/>
      <c r="C84" s="36"/>
      <c r="D84" s="39" t="s">
        <v>75</v>
      </c>
      <c r="E84" s="40">
        <v>3.2584514210717605E-2</v>
      </c>
      <c r="F84" s="61">
        <v>3.2063161983346125E-3</v>
      </c>
      <c r="G84" s="61">
        <v>8.0939933299422531E-3</v>
      </c>
      <c r="H84" s="61">
        <v>1.4610896172085774E-2</v>
      </c>
      <c r="I84" s="61">
        <v>2.1127799014229294E-2</v>
      </c>
      <c r="J84" s="61">
        <v>2.7644701856372817E-2</v>
      </c>
      <c r="K84" s="61">
        <v>3.416160469851634E-2</v>
      </c>
    </row>
    <row r="85" spans="2:11" x14ac:dyDescent="0.3">
      <c r="B85" s="35"/>
      <c r="C85" s="36"/>
      <c r="D85" s="39" t="s">
        <v>76</v>
      </c>
      <c r="E85" s="40">
        <v>8.7904516629801685E-2</v>
      </c>
      <c r="F85" s="61">
        <v>8.6498044363724855E-3</v>
      </c>
      <c r="G85" s="61">
        <v>2.183548193084274E-2</v>
      </c>
      <c r="H85" s="61">
        <v>3.9416385256803077E-2</v>
      </c>
      <c r="I85" s="61">
        <v>5.6997288582763407E-2</v>
      </c>
      <c r="J85" s="61">
        <v>7.4578191908723751E-2</v>
      </c>
      <c r="K85" s="61">
        <v>9.2159095234684088E-2</v>
      </c>
    </row>
    <row r="86" spans="2:11" x14ac:dyDescent="0.3">
      <c r="B86" s="33" t="s">
        <v>55</v>
      </c>
      <c r="C86" s="34" t="str">
        <f>C65</f>
        <v>United States</v>
      </c>
      <c r="D86" s="39" t="s">
        <v>74</v>
      </c>
      <c r="E86" s="40">
        <v>0.18785748467160501</v>
      </c>
      <c r="F86" s="61">
        <v>1.8485176491685934E-2</v>
      </c>
      <c r="G86" s="61">
        <v>4.6663799192426685E-2</v>
      </c>
      <c r="H86" s="61">
        <v>8.4235296126747697E-2</v>
      </c>
      <c r="I86" s="61">
        <v>0.12180679306106869</v>
      </c>
      <c r="J86" s="61">
        <v>0.15937828999538969</v>
      </c>
      <c r="K86" s="61">
        <v>0.19694978692971069</v>
      </c>
    </row>
    <row r="87" spans="2:11" x14ac:dyDescent="0.3">
      <c r="B87" s="35"/>
      <c r="C87" s="36"/>
      <c r="D87" s="39" t="s">
        <v>75</v>
      </c>
      <c r="E87" s="40">
        <v>9.7634596332146481E-2</v>
      </c>
      <c r="F87" s="61">
        <v>9.607244279083214E-3</v>
      </c>
      <c r="G87" s="61">
        <v>2.4252433728905187E-2</v>
      </c>
      <c r="H87" s="61">
        <v>4.3779352995334482E-2</v>
      </c>
      <c r="I87" s="61">
        <v>6.3306272261763774E-2</v>
      </c>
      <c r="J87" s="61">
        <v>8.2833191528193073E-2</v>
      </c>
      <c r="K87" s="61">
        <v>0.10236011079462237</v>
      </c>
    </row>
    <row r="88" spans="2:11" x14ac:dyDescent="0.3">
      <c r="B88" s="35"/>
      <c r="C88" s="36"/>
      <c r="D88" s="39" t="s">
        <v>76</v>
      </c>
      <c r="E88" s="40">
        <v>0.17741157469030908</v>
      </c>
      <c r="F88" s="61">
        <v>1.7457298949526412E-2</v>
      </c>
      <c r="G88" s="61">
        <v>4.4069035153072776E-2</v>
      </c>
      <c r="H88" s="61">
        <v>7.9551350091134593E-2</v>
      </c>
      <c r="I88" s="61">
        <v>0.1150336650291964</v>
      </c>
      <c r="J88" s="61">
        <v>0.15051597996725824</v>
      </c>
      <c r="K88" s="61">
        <v>0.18599829490532002</v>
      </c>
    </row>
    <row r="89" spans="2:11" x14ac:dyDescent="0.3">
      <c r="B89" s="33" t="s">
        <v>58</v>
      </c>
      <c r="C89" s="34" t="str">
        <f>C65</f>
        <v>United States</v>
      </c>
      <c r="D89" s="39" t="s">
        <v>74</v>
      </c>
      <c r="E89" s="40">
        <v>0.48813187627035654</v>
      </c>
      <c r="F89" s="61">
        <v>4.8032176625003087E-2</v>
      </c>
      <c r="G89" s="61">
        <v>0.12125195806555657</v>
      </c>
      <c r="H89" s="61">
        <v>0.21887833331962789</v>
      </c>
      <c r="I89" s="61">
        <v>0.31650470857369917</v>
      </c>
      <c r="J89" s="61">
        <v>0.41413108382777053</v>
      </c>
      <c r="K89" s="61">
        <v>0.51175745908184178</v>
      </c>
    </row>
    <row r="90" spans="2:11" x14ac:dyDescent="0.3">
      <c r="B90" s="35"/>
      <c r="C90" s="36"/>
      <c r="D90" s="39" t="s">
        <v>75</v>
      </c>
      <c r="E90" s="40">
        <v>0.48196986639724892</v>
      </c>
      <c r="F90" s="61">
        <v>4.7425834853489293E-2</v>
      </c>
      <c r="G90" s="61">
        <v>0.11972131481307664</v>
      </c>
      <c r="H90" s="61">
        <v>0.21611528809252642</v>
      </c>
      <c r="I90" s="61">
        <v>0.31250926137197621</v>
      </c>
      <c r="J90" s="61">
        <v>0.40890323465142603</v>
      </c>
      <c r="K90" s="61">
        <v>0.50529720793087574</v>
      </c>
    </row>
    <row r="91" spans="2:11" x14ac:dyDescent="0.3">
      <c r="B91" s="35"/>
      <c r="C91" s="36"/>
      <c r="D91" s="39" t="s">
        <v>76</v>
      </c>
      <c r="E91" s="40">
        <v>0.48756423976212526</v>
      </c>
      <c r="F91" s="61">
        <v>4.7976321192593124E-2</v>
      </c>
      <c r="G91" s="61">
        <v>0.12111095715691192</v>
      </c>
      <c r="H91" s="61">
        <v>0.21862380510933699</v>
      </c>
      <c r="I91" s="61">
        <v>0.31613665306176203</v>
      </c>
      <c r="J91" s="61">
        <v>0.41364950101418707</v>
      </c>
      <c r="K91" s="61">
        <v>0.51116234896661217</v>
      </c>
    </row>
    <row r="92" spans="2:11" x14ac:dyDescent="0.3">
      <c r="B92" s="33" t="s">
        <v>60</v>
      </c>
      <c r="C92" s="34" t="str">
        <f>C65</f>
        <v>United States</v>
      </c>
      <c r="D92" s="39" t="s">
        <v>74</v>
      </c>
      <c r="E92" s="65">
        <v>1</v>
      </c>
      <c r="F92" s="61">
        <v>9.8400000000000001E-2</v>
      </c>
      <c r="G92" s="61">
        <v>0.24840000000000001</v>
      </c>
      <c r="H92" s="61">
        <v>0.44840000000000002</v>
      </c>
      <c r="I92" s="61">
        <v>0.64839999999999998</v>
      </c>
      <c r="J92" s="61">
        <v>0.84840000000000004</v>
      </c>
      <c r="K92" s="61">
        <v>1.0484</v>
      </c>
    </row>
    <row r="93" spans="2:11" x14ac:dyDescent="0.3">
      <c r="B93" s="35"/>
      <c r="C93" s="36"/>
      <c r="D93" s="39" t="s">
        <v>75</v>
      </c>
      <c r="E93" s="65">
        <v>1</v>
      </c>
      <c r="F93" s="61">
        <v>9.8400000000000001E-2</v>
      </c>
      <c r="G93" s="61">
        <v>0.24840000000000001</v>
      </c>
      <c r="H93" s="61">
        <v>0.44840000000000002</v>
      </c>
      <c r="I93" s="61">
        <v>0.64839999999999998</v>
      </c>
      <c r="J93" s="61">
        <v>0.84840000000000004</v>
      </c>
      <c r="K93" s="61">
        <v>1.0484</v>
      </c>
    </row>
    <row r="94" spans="2:11" ht="15" thickBot="1" x14ac:dyDescent="0.35">
      <c r="B94" s="43"/>
      <c r="C94" s="44"/>
      <c r="D94" s="66" t="s">
        <v>76</v>
      </c>
      <c r="E94" s="67">
        <v>1</v>
      </c>
      <c r="F94" s="61">
        <v>9.8400000000000001E-2</v>
      </c>
      <c r="G94" s="61">
        <v>0.24840000000000001</v>
      </c>
      <c r="H94" s="61">
        <v>0.44840000000000002</v>
      </c>
      <c r="I94" s="61">
        <v>0.64839999999999998</v>
      </c>
      <c r="J94" s="61">
        <v>0.84840000000000004</v>
      </c>
      <c r="K94" s="61">
        <v>1.0484</v>
      </c>
    </row>
    <row r="95" spans="2:11" x14ac:dyDescent="0.3">
      <c r="B95" s="83" t="s">
        <v>13</v>
      </c>
      <c r="C95" s="84" t="s">
        <v>105</v>
      </c>
      <c r="D95" s="85" t="s">
        <v>74</v>
      </c>
      <c r="E95" s="86">
        <v>1.7130167012508869E-3</v>
      </c>
      <c r="F95" s="87">
        <v>1.6856084340308728E-4</v>
      </c>
      <c r="G95" s="87">
        <v>4.2551334859072034E-4</v>
      </c>
      <c r="H95" s="87">
        <v>7.6811668884089774E-4</v>
      </c>
      <c r="I95" s="87">
        <v>1.110720029091075E-3</v>
      </c>
      <c r="J95" s="87">
        <v>1.4533233693412525E-3</v>
      </c>
      <c r="K95" s="87">
        <v>1.7959267095914299E-3</v>
      </c>
    </row>
    <row r="96" spans="2:11" x14ac:dyDescent="0.3">
      <c r="B96" s="83"/>
      <c r="C96" s="84"/>
      <c r="D96" s="88" t="s">
        <v>75</v>
      </c>
      <c r="E96" s="89">
        <v>4.6917022608655262E-5</v>
      </c>
      <c r="F96" s="90">
        <v>4.6166350246916778E-6</v>
      </c>
      <c r="G96" s="90">
        <v>1.1654188415989967E-5</v>
      </c>
      <c r="H96" s="90">
        <v>2.1037592937721019E-5</v>
      </c>
      <c r="I96" s="90">
        <v>3.0420997459452071E-5</v>
      </c>
      <c r="J96" s="90">
        <v>3.9804401981183129E-5</v>
      </c>
      <c r="K96" s="90">
        <v>4.9187806502914178E-5</v>
      </c>
    </row>
    <row r="97" spans="2:11" x14ac:dyDescent="0.3">
      <c r="B97" s="83"/>
      <c r="C97" s="91"/>
      <c r="D97" s="88" t="s">
        <v>76</v>
      </c>
      <c r="E97" s="89">
        <v>1.6559525269701891E-3</v>
      </c>
      <c r="F97" s="90">
        <v>1.6294572865386661E-4</v>
      </c>
      <c r="G97" s="90">
        <v>4.1133860769939501E-4</v>
      </c>
      <c r="H97" s="90">
        <v>7.4252911309343286E-4</v>
      </c>
      <c r="I97" s="90">
        <v>1.0737196184874705E-3</v>
      </c>
      <c r="J97" s="90">
        <v>1.4049101238815084E-3</v>
      </c>
      <c r="K97" s="90">
        <v>1.7361006292755461E-3</v>
      </c>
    </row>
    <row r="98" spans="2:11" x14ac:dyDescent="0.3">
      <c r="B98" s="92" t="s">
        <v>19</v>
      </c>
      <c r="C98" s="93" t="str">
        <f>C95</f>
        <v>Hong Kong</v>
      </c>
      <c r="D98" s="88" t="s">
        <v>74</v>
      </c>
      <c r="E98" s="94">
        <v>9.3283601624163711E-3</v>
      </c>
      <c r="F98" s="90">
        <v>9.1791063998177089E-4</v>
      </c>
      <c r="G98" s="90">
        <v>2.3171646643442268E-3</v>
      </c>
      <c r="H98" s="90">
        <v>4.1828366968275008E-3</v>
      </c>
      <c r="I98" s="90">
        <v>6.0485087293107751E-3</v>
      </c>
      <c r="J98" s="90">
        <v>7.9141807617940495E-3</v>
      </c>
      <c r="K98" s="90">
        <v>9.7798527942773231E-3</v>
      </c>
    </row>
    <row r="99" spans="2:11" x14ac:dyDescent="0.3">
      <c r="B99" s="83"/>
      <c r="C99" s="83"/>
      <c r="D99" s="95" t="s">
        <v>75</v>
      </c>
      <c r="E99" s="94">
        <v>6.7742475116052249E-4</v>
      </c>
      <c r="F99" s="90">
        <v>6.6658595514195408E-5</v>
      </c>
      <c r="G99" s="90">
        <v>1.682723081882738E-4</v>
      </c>
      <c r="H99" s="90">
        <v>3.0375725842037829E-4</v>
      </c>
      <c r="I99" s="90">
        <v>4.3924220865248278E-4</v>
      </c>
      <c r="J99" s="90">
        <v>5.7472715888458726E-4</v>
      </c>
      <c r="K99" s="90">
        <v>7.1021210911669181E-4</v>
      </c>
    </row>
    <row r="100" spans="2:11" x14ac:dyDescent="0.3">
      <c r="B100" s="83"/>
      <c r="C100" s="96"/>
      <c r="D100" s="88" t="s">
        <v>76</v>
      </c>
      <c r="E100" s="94">
        <v>9.101785147955661E-3</v>
      </c>
      <c r="F100" s="90">
        <v>8.9561565855883702E-4</v>
      </c>
      <c r="G100" s="90">
        <v>2.2608834307521861E-3</v>
      </c>
      <c r="H100" s="90">
        <v>4.0812404603433189E-3</v>
      </c>
      <c r="I100" s="90">
        <v>5.9015974899344504E-3</v>
      </c>
      <c r="J100" s="90">
        <v>7.7219545195255828E-3</v>
      </c>
      <c r="K100" s="90">
        <v>9.5423115491167151E-3</v>
      </c>
    </row>
    <row r="101" spans="2:11" x14ac:dyDescent="0.3">
      <c r="B101" s="97" t="s">
        <v>24</v>
      </c>
      <c r="C101" s="98" t="str">
        <f>C95</f>
        <v>Hong Kong</v>
      </c>
      <c r="D101" s="88" t="s">
        <v>74</v>
      </c>
      <c r="E101" s="94">
        <v>9.4417197655031898E-3</v>
      </c>
      <c r="F101" s="90">
        <v>9.2906522492551384E-4</v>
      </c>
      <c r="G101" s="90">
        <v>2.3453231897509925E-3</v>
      </c>
      <c r="H101" s="90">
        <v>4.2336671428516307E-3</v>
      </c>
      <c r="I101" s="90">
        <v>6.122011095952268E-3</v>
      </c>
      <c r="J101" s="90">
        <v>8.0103550490529061E-3</v>
      </c>
      <c r="K101" s="90">
        <v>9.8986990021535434E-3</v>
      </c>
    </row>
    <row r="102" spans="2:11" x14ac:dyDescent="0.3">
      <c r="B102" s="83"/>
      <c r="C102" s="96"/>
      <c r="D102" s="88" t="s">
        <v>75</v>
      </c>
      <c r="E102" s="94">
        <v>6.904894285458032E-4</v>
      </c>
      <c r="F102" s="90">
        <v>6.7944159768907033E-5</v>
      </c>
      <c r="G102" s="90">
        <v>1.7151757405077753E-4</v>
      </c>
      <c r="H102" s="90">
        <v>3.0961545975993819E-4</v>
      </c>
      <c r="I102" s="90">
        <v>4.4771334546909878E-4</v>
      </c>
      <c r="J102" s="90">
        <v>5.8581123117825947E-4</v>
      </c>
      <c r="K102" s="90">
        <v>7.2390911688742011E-4</v>
      </c>
    </row>
    <row r="103" spans="2:11" x14ac:dyDescent="0.3">
      <c r="B103" s="83"/>
      <c r="C103" s="96"/>
      <c r="D103" s="88" t="s">
        <v>76</v>
      </c>
      <c r="E103" s="94">
        <v>9.2130123933704296E-3</v>
      </c>
      <c r="F103" s="90">
        <v>9.0656041950765024E-4</v>
      </c>
      <c r="G103" s="90">
        <v>2.2885122785132146E-3</v>
      </c>
      <c r="H103" s="90">
        <v>4.1311147571873007E-3</v>
      </c>
      <c r="I103" s="90">
        <v>5.9737172358613859E-3</v>
      </c>
      <c r="J103" s="90">
        <v>7.8163197145354728E-3</v>
      </c>
      <c r="K103" s="90">
        <v>9.6589221932095581E-3</v>
      </c>
    </row>
    <row r="104" spans="2:11" x14ac:dyDescent="0.3">
      <c r="B104" s="97" t="s">
        <v>30</v>
      </c>
      <c r="C104" s="98" t="str">
        <f>C95</f>
        <v>Hong Kong</v>
      </c>
      <c r="D104" s="88" t="s">
        <v>74</v>
      </c>
      <c r="E104" s="94">
        <v>1.7009595086516026E-2</v>
      </c>
      <c r="F104" s="90">
        <v>1.673744156513177E-3</v>
      </c>
      <c r="G104" s="90">
        <v>4.2251834194905807E-3</v>
      </c>
      <c r="H104" s="90">
        <v>7.6271024367937862E-3</v>
      </c>
      <c r="I104" s="90">
        <v>1.1029021454096991E-2</v>
      </c>
      <c r="J104" s="90">
        <v>1.4430940471400196E-2</v>
      </c>
      <c r="K104" s="90">
        <v>1.78328594887034E-2</v>
      </c>
    </row>
    <row r="105" spans="2:11" x14ac:dyDescent="0.3">
      <c r="B105" s="83"/>
      <c r="C105" s="96"/>
      <c r="D105" s="88" t="s">
        <v>75</v>
      </c>
      <c r="E105" s="94">
        <v>1.75625776056587E-3</v>
      </c>
      <c r="F105" s="90">
        <v>1.7281576363968162E-4</v>
      </c>
      <c r="G105" s="90">
        <v>4.3625442772456216E-4</v>
      </c>
      <c r="H105" s="90">
        <v>7.8750597983773621E-4</v>
      </c>
      <c r="I105" s="90">
        <v>1.1387575319509102E-3</v>
      </c>
      <c r="J105" s="90">
        <v>1.4900090840640843E-3</v>
      </c>
      <c r="K105" s="90">
        <v>1.8412606361772582E-3</v>
      </c>
    </row>
    <row r="106" spans="2:11" x14ac:dyDescent="0.3">
      <c r="B106" s="84"/>
      <c r="C106" s="99"/>
      <c r="D106" s="88" t="s">
        <v>76</v>
      </c>
      <c r="E106" s="94">
        <v>1.6652771425325268E-2</v>
      </c>
      <c r="F106" s="90">
        <v>1.6386327082520064E-3</v>
      </c>
      <c r="G106" s="90">
        <v>4.1365484220507965E-3</v>
      </c>
      <c r="H106" s="90">
        <v>7.4671027071158509E-3</v>
      </c>
      <c r="I106" s="90">
        <v>1.0797656992180904E-2</v>
      </c>
      <c r="J106" s="90">
        <v>1.4128211277245959E-2</v>
      </c>
      <c r="K106" s="90">
        <v>1.7458765562311011E-2</v>
      </c>
    </row>
    <row r="107" spans="2:11" x14ac:dyDescent="0.3">
      <c r="B107" s="97" t="s">
        <v>46</v>
      </c>
      <c r="C107" s="98" t="str">
        <f>C95</f>
        <v>Hong Kong</v>
      </c>
      <c r="D107" s="88" t="s">
        <v>74</v>
      </c>
      <c r="E107" s="94">
        <v>3.1425790008380111E-2</v>
      </c>
      <c r="F107" s="90">
        <v>3.092297736824603E-3</v>
      </c>
      <c r="G107" s="90">
        <v>7.8061662380816202E-3</v>
      </c>
      <c r="H107" s="90">
        <v>1.4091324239757643E-2</v>
      </c>
      <c r="I107" s="90">
        <v>2.0376482241433663E-2</v>
      </c>
      <c r="J107" s="90">
        <v>2.6661640243109689E-2</v>
      </c>
      <c r="K107" s="90">
        <v>3.2946798244785712E-2</v>
      </c>
    </row>
    <row r="108" spans="2:11" x14ac:dyDescent="0.3">
      <c r="B108" s="83"/>
      <c r="C108" s="96"/>
      <c r="D108" s="88" t="s">
        <v>75</v>
      </c>
      <c r="E108" s="94">
        <v>4.6879958860004661E-3</v>
      </c>
      <c r="F108" s="90">
        <v>4.6129879518244589E-4</v>
      </c>
      <c r="G108" s="90">
        <v>1.1644981780825159E-3</v>
      </c>
      <c r="H108" s="90">
        <v>2.1020973552826091E-3</v>
      </c>
      <c r="I108" s="90">
        <v>3.0396965324827022E-3</v>
      </c>
      <c r="J108" s="90">
        <v>3.9772957096827957E-3</v>
      </c>
      <c r="K108" s="90">
        <v>4.9148948868828887E-3</v>
      </c>
    </row>
    <row r="109" spans="2:11" x14ac:dyDescent="0.3">
      <c r="B109" s="83"/>
      <c r="C109" s="96"/>
      <c r="D109" s="88" t="s">
        <v>76</v>
      </c>
      <c r="E109" s="94">
        <v>3.0876293315779988E-2</v>
      </c>
      <c r="F109" s="90">
        <v>3.0382272622727509E-3</v>
      </c>
      <c r="G109" s="90">
        <v>7.6696712596397492E-3</v>
      </c>
      <c r="H109" s="90">
        <v>1.3844929922795747E-2</v>
      </c>
      <c r="I109" s="90">
        <v>2.0020188585951743E-2</v>
      </c>
      <c r="J109" s="90">
        <v>2.6195447249107742E-2</v>
      </c>
      <c r="K109" s="90">
        <v>3.2370705912263736E-2</v>
      </c>
    </row>
    <row r="110" spans="2:11" x14ac:dyDescent="0.3">
      <c r="B110" s="97" t="s">
        <v>50</v>
      </c>
      <c r="C110" s="98" t="str">
        <f>C95</f>
        <v>Hong Kong</v>
      </c>
      <c r="D110" s="88" t="s">
        <v>74</v>
      </c>
      <c r="E110" s="94">
        <v>5.866652699326802E-2</v>
      </c>
      <c r="F110" s="90">
        <v>5.7727862561375732E-3</v>
      </c>
      <c r="G110" s="90">
        <v>1.4572765305127777E-2</v>
      </c>
      <c r="H110" s="90">
        <v>2.6306070703781381E-2</v>
      </c>
      <c r="I110" s="90">
        <v>3.8039376102434984E-2</v>
      </c>
      <c r="J110" s="90">
        <v>4.9772681501088593E-2</v>
      </c>
      <c r="K110" s="90">
        <v>6.1505986899742189E-2</v>
      </c>
    </row>
    <row r="111" spans="2:11" x14ac:dyDescent="0.3">
      <c r="B111" s="83"/>
      <c r="C111" s="96"/>
      <c r="D111" s="88" t="s">
        <v>75</v>
      </c>
      <c r="E111" s="94">
        <v>1.2918093874600724E-2</v>
      </c>
      <c r="F111" s="90">
        <v>1.2711404372607112E-3</v>
      </c>
      <c r="G111" s="90">
        <v>3.2088545184508197E-3</v>
      </c>
      <c r="H111" s="90">
        <v>5.7924732933709649E-3</v>
      </c>
      <c r="I111" s="90">
        <v>8.3760920682911088E-3</v>
      </c>
      <c r="J111" s="90">
        <v>1.0959710843211255E-2</v>
      </c>
      <c r="K111" s="90">
        <v>1.3543329618131398E-2</v>
      </c>
    </row>
    <row r="112" spans="2:11" x14ac:dyDescent="0.3">
      <c r="B112" s="83"/>
      <c r="C112" s="96"/>
      <c r="D112" s="88" t="s">
        <v>76</v>
      </c>
      <c r="E112" s="94">
        <v>5.7858427317054498E-2</v>
      </c>
      <c r="F112" s="90">
        <v>5.6932692479981627E-3</v>
      </c>
      <c r="G112" s="90">
        <v>1.4372033345556338E-2</v>
      </c>
      <c r="H112" s="90">
        <v>2.5943718808967238E-2</v>
      </c>
      <c r="I112" s="90">
        <v>3.7515404272378136E-2</v>
      </c>
      <c r="J112" s="90">
        <v>4.9087089735789041E-2</v>
      </c>
      <c r="K112" s="90">
        <v>6.0658775199199932E-2</v>
      </c>
    </row>
    <row r="113" spans="2:11" x14ac:dyDescent="0.3">
      <c r="B113" s="97" t="s">
        <v>53</v>
      </c>
      <c r="C113" s="98" t="str">
        <f>C95</f>
        <v>Hong Kong</v>
      </c>
      <c r="D113" s="88" t="s">
        <v>74</v>
      </c>
      <c r="E113" s="94">
        <v>9.2708285363622814E-2</v>
      </c>
      <c r="F113" s="90">
        <v>9.1224952797804848E-3</v>
      </c>
      <c r="G113" s="90">
        <v>2.3028738084323909E-2</v>
      </c>
      <c r="H113" s="90">
        <v>4.1570395157048474E-2</v>
      </c>
      <c r="I113" s="90">
        <v>6.0112052229773033E-2</v>
      </c>
      <c r="J113" s="90">
        <v>7.8653709302497599E-2</v>
      </c>
      <c r="K113" s="90">
        <v>9.7195366375222164E-2</v>
      </c>
    </row>
    <row r="114" spans="2:11" x14ac:dyDescent="0.3">
      <c r="B114" s="83"/>
      <c r="C114" s="96"/>
      <c r="D114" s="88" t="s">
        <v>75</v>
      </c>
      <c r="E114" s="94">
        <v>2.758136825357119E-2</v>
      </c>
      <c r="F114" s="90">
        <v>2.7140066361514051E-3</v>
      </c>
      <c r="G114" s="90">
        <v>6.8512118741870841E-3</v>
      </c>
      <c r="H114" s="90">
        <v>1.2367485524901323E-2</v>
      </c>
      <c r="I114" s="90">
        <v>1.7883759175615559E-2</v>
      </c>
      <c r="J114" s="90">
        <v>2.3400032826329797E-2</v>
      </c>
      <c r="K114" s="90">
        <v>2.8916306477044035E-2</v>
      </c>
    </row>
    <row r="115" spans="2:11" x14ac:dyDescent="0.3">
      <c r="B115" s="83"/>
      <c r="C115" s="96"/>
      <c r="D115" s="88" t="s">
        <v>76</v>
      </c>
      <c r="E115" s="94">
        <v>9.1695660332139467E-2</v>
      </c>
      <c r="F115" s="90">
        <v>9.0228529766825244E-3</v>
      </c>
      <c r="G115" s="90">
        <v>2.2777202026503445E-2</v>
      </c>
      <c r="H115" s="90">
        <v>4.1116334092931341E-2</v>
      </c>
      <c r="I115" s="90">
        <v>5.9455466159359226E-2</v>
      </c>
      <c r="J115" s="90">
        <v>7.7794598225787132E-2</v>
      </c>
      <c r="K115" s="90">
        <v>9.6133730292215017E-2</v>
      </c>
    </row>
    <row r="116" spans="2:11" x14ac:dyDescent="0.3">
      <c r="B116" s="97" t="s">
        <v>55</v>
      </c>
      <c r="C116" s="98" t="str">
        <f>C95</f>
        <v>Hong Kong</v>
      </c>
      <c r="D116" s="88" t="s">
        <v>74</v>
      </c>
      <c r="E116" s="94">
        <v>0.18285378311366865</v>
      </c>
      <c r="F116" s="90">
        <v>1.7992812258384994E-2</v>
      </c>
      <c r="G116" s="90">
        <v>4.5420879725435293E-2</v>
      </c>
      <c r="H116" s="90">
        <v>8.1991636348169028E-2</v>
      </c>
      <c r="I116" s="90">
        <v>0.11856239297090275</v>
      </c>
      <c r="J116" s="90">
        <v>0.1551331495936365</v>
      </c>
      <c r="K116" s="90">
        <v>0.19170390621637021</v>
      </c>
    </row>
    <row r="117" spans="2:11" x14ac:dyDescent="0.3">
      <c r="B117" s="83"/>
      <c r="C117" s="96"/>
      <c r="D117" s="88" t="s">
        <v>75</v>
      </c>
      <c r="E117" s="94">
        <v>8.806496113780056E-2</v>
      </c>
      <c r="F117" s="90">
        <v>8.6655921759595748E-3</v>
      </c>
      <c r="G117" s="90">
        <v>2.1875336346629661E-2</v>
      </c>
      <c r="H117" s="90">
        <v>3.9488328574189775E-2</v>
      </c>
      <c r="I117" s="90">
        <v>5.7101320801749879E-2</v>
      </c>
      <c r="J117" s="90">
        <v>7.4714313029310003E-2</v>
      </c>
      <c r="K117" s="90">
        <v>9.2327305256870107E-2</v>
      </c>
    </row>
    <row r="118" spans="2:11" x14ac:dyDescent="0.3">
      <c r="B118" s="83"/>
      <c r="C118" s="96"/>
      <c r="D118" s="88" t="s">
        <v>76</v>
      </c>
      <c r="E118" s="94">
        <v>0.18167081075523556</v>
      </c>
      <c r="F118" s="90">
        <v>1.787640777831518E-2</v>
      </c>
      <c r="G118" s="90">
        <v>4.5127029391600515E-2</v>
      </c>
      <c r="H118" s="90">
        <v>8.1461191542647624E-2</v>
      </c>
      <c r="I118" s="90">
        <v>0.11779535369369473</v>
      </c>
      <c r="J118" s="90">
        <v>0.15412951584474185</v>
      </c>
      <c r="K118" s="90">
        <v>0.19046367799578895</v>
      </c>
    </row>
    <row r="119" spans="2:11" x14ac:dyDescent="0.3">
      <c r="B119" s="97" t="s">
        <v>58</v>
      </c>
      <c r="C119" s="98" t="str">
        <f>C95</f>
        <v>Hong Kong</v>
      </c>
      <c r="D119" s="88" t="s">
        <v>74</v>
      </c>
      <c r="E119" s="94">
        <v>0.48785036985679142</v>
      </c>
      <c r="F119" s="90">
        <v>4.8004476393908278E-2</v>
      </c>
      <c r="G119" s="90">
        <v>0.12118203187242699</v>
      </c>
      <c r="H119" s="90">
        <v>0.21875210584378529</v>
      </c>
      <c r="I119" s="90">
        <v>0.31632217981514354</v>
      </c>
      <c r="J119" s="90">
        <v>0.41389225378650185</v>
      </c>
      <c r="K119" s="90">
        <v>0.51146232775786016</v>
      </c>
    </row>
    <row r="120" spans="2:11" x14ac:dyDescent="0.3">
      <c r="B120" s="83"/>
      <c r="C120" s="96"/>
      <c r="D120" s="88" t="s">
        <v>75</v>
      </c>
      <c r="E120" s="94">
        <v>0.4810377348063693</v>
      </c>
      <c r="F120" s="90">
        <v>4.7334113104946743E-2</v>
      </c>
      <c r="G120" s="90">
        <v>0.11948977332590213</v>
      </c>
      <c r="H120" s="90">
        <v>0.215697320287176</v>
      </c>
      <c r="I120" s="90">
        <v>0.31190486724844985</v>
      </c>
      <c r="J120" s="90">
        <v>0.40811241420972372</v>
      </c>
      <c r="K120" s="90">
        <v>0.50431996117099753</v>
      </c>
    </row>
    <row r="121" spans="2:11" x14ac:dyDescent="0.3">
      <c r="B121" s="83"/>
      <c r="C121" s="96"/>
      <c r="D121" s="88" t="s">
        <v>76</v>
      </c>
      <c r="E121" s="94">
        <v>0.4877859704936478</v>
      </c>
      <c r="F121" s="90">
        <v>4.7998139496574943E-2</v>
      </c>
      <c r="G121" s="90">
        <v>0.12116603507062212</v>
      </c>
      <c r="H121" s="90">
        <v>0.21872322916935169</v>
      </c>
      <c r="I121" s="90">
        <v>0.3162804232680812</v>
      </c>
      <c r="J121" s="90">
        <v>0.41383761736681079</v>
      </c>
      <c r="K121" s="90">
        <v>0.51139481146554033</v>
      </c>
    </row>
    <row r="122" spans="2:11" x14ac:dyDescent="0.3">
      <c r="B122" s="97" t="s">
        <v>60</v>
      </c>
      <c r="C122" s="98" t="str">
        <f>C95</f>
        <v>Hong Kong</v>
      </c>
      <c r="D122" s="88" t="s">
        <v>74</v>
      </c>
      <c r="E122" s="100">
        <v>1</v>
      </c>
      <c r="F122" s="90">
        <v>9.8400000000000001E-2</v>
      </c>
      <c r="G122" s="90">
        <v>0.24840000000000001</v>
      </c>
      <c r="H122" s="90">
        <v>0.44840000000000002</v>
      </c>
      <c r="I122" s="90">
        <v>0.64839999999999998</v>
      </c>
      <c r="J122" s="90">
        <v>0.84840000000000004</v>
      </c>
      <c r="K122" s="90">
        <v>1.0484</v>
      </c>
    </row>
    <row r="123" spans="2:11" x14ac:dyDescent="0.3">
      <c r="B123" s="83"/>
      <c r="C123" s="96"/>
      <c r="D123" s="88" t="s">
        <v>75</v>
      </c>
      <c r="E123" s="100">
        <v>1</v>
      </c>
      <c r="F123" s="90">
        <v>9.8400000000000001E-2</v>
      </c>
      <c r="G123" s="90">
        <v>0.24840000000000001</v>
      </c>
      <c r="H123" s="90">
        <v>0.44840000000000002</v>
      </c>
      <c r="I123" s="90">
        <v>0.64839999999999998</v>
      </c>
      <c r="J123" s="90">
        <v>0.84840000000000004</v>
      </c>
      <c r="K123" s="90">
        <v>1.0484</v>
      </c>
    </row>
    <row r="124" spans="2:11" ht="15" thickBot="1" x14ac:dyDescent="0.35">
      <c r="B124" s="101"/>
      <c r="C124" s="102"/>
      <c r="D124" s="103" t="s">
        <v>76</v>
      </c>
      <c r="E124" s="104">
        <v>1</v>
      </c>
      <c r="F124" s="90">
        <v>9.8400000000000001E-2</v>
      </c>
      <c r="G124" s="90">
        <v>0.24840000000000001</v>
      </c>
      <c r="H124" s="90">
        <v>0.44840000000000002</v>
      </c>
      <c r="I124" s="90">
        <v>0.64839999999999998</v>
      </c>
      <c r="J124" s="90">
        <v>0.84840000000000004</v>
      </c>
      <c r="K124" s="90">
        <v>1.0484</v>
      </c>
    </row>
  </sheetData>
  <autoFilter ref="B4:E4" xr:uid="{15B2FC1F-41E3-48C0-962B-DAE2A6AA43E8}"/>
  <mergeCells count="13">
    <mergeCell ref="B3:E3"/>
    <mergeCell ref="S7:S10"/>
    <mergeCell ref="T7:AF7"/>
    <mergeCell ref="T8:AD8"/>
    <mergeCell ref="T9:U9"/>
    <mergeCell ref="V9:AA9"/>
    <mergeCell ref="AB9:AD9"/>
    <mergeCell ref="S15:S18"/>
    <mergeCell ref="T15:AF15"/>
    <mergeCell ref="T16:AD16"/>
    <mergeCell ref="T17:U17"/>
    <mergeCell ref="V17:AA17"/>
    <mergeCell ref="AB17:AD17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D138551DCD0147AEF954381F5E97CE" ma:contentTypeVersion="11" ma:contentTypeDescription="Create a new document." ma:contentTypeScope="" ma:versionID="847c9966dd2aead4f59eeddf2299e43c">
  <xsd:schema xmlns:xsd="http://www.w3.org/2001/XMLSchema" xmlns:xs="http://www.w3.org/2001/XMLSchema" xmlns:p="http://schemas.microsoft.com/office/2006/metadata/properties" xmlns:ns2="63800098-8413-4a26-93b1-be8fe8e5a3d6" xmlns:ns3="d2879838-093e-4573-9c32-c1cf2054be68" targetNamespace="http://schemas.microsoft.com/office/2006/metadata/properties" ma:root="true" ma:fieldsID="02cc9770d1d6dc8394440a1388ac5b19" ns2:_="" ns3:_="">
    <xsd:import namespace="63800098-8413-4a26-93b1-be8fe8e5a3d6"/>
    <xsd:import namespace="d2879838-093e-4573-9c32-c1cf2054be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00098-8413-4a26-93b1-be8fe8e5a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fbe647-114e-4184-936e-069e4df0e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79838-093e-4573-9c32-c1cf2054be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3a7ecb-7f60-4f4d-861e-448844d1d91f}" ma:internalName="TaxCatchAll" ma:showField="CatchAllData" ma:web="d2879838-093e-4573-9c32-c1cf2054be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879838-093e-4573-9c32-c1cf2054be68" xsi:nil="true"/>
    <lcf76f155ced4ddcb4097134ff3c332f xmlns="63800098-8413-4a26-93b1-be8fe8e5a3d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F5BDD-A151-41FF-89E3-BD8DBF6AB4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00098-8413-4a26-93b1-be8fe8e5a3d6"/>
    <ds:schemaRef ds:uri="d2879838-093e-4573-9c32-c1cf2054be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2BA32-B4EF-42CA-A303-EC50A67CBD6C}">
  <ds:schemaRefs>
    <ds:schemaRef ds:uri="http://purl.org/dc/terms/"/>
    <ds:schemaRef ds:uri="http://schemas.microsoft.com/office/2006/metadata/properties"/>
    <ds:schemaRef ds:uri="http://purl.org/dc/dcmitype/"/>
    <ds:schemaRef ds:uri="d2879838-093e-4573-9c32-c1cf2054be68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63800098-8413-4a26-93b1-be8fe8e5a3d6"/>
  </ds:schemaRefs>
</ds:datastoreItem>
</file>

<file path=customXml/itemProps3.xml><?xml version="1.0" encoding="utf-8"?>
<ds:datastoreItem xmlns:ds="http://schemas.openxmlformats.org/officeDocument/2006/customXml" ds:itemID="{4953FB5D-5623-4506-BEB7-4C676078CD7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ECL Local</vt:lpstr>
      <vt:lpstr>ECL Overseas</vt:lpstr>
      <vt:lpstr>ECL Overseas (2)</vt:lpstr>
      <vt:lpstr>ECL Overseas (3)</vt:lpstr>
      <vt:lpstr>ECL Overseas (4)</vt:lpstr>
      <vt:lpstr>ECL Overseas (5)</vt:lpstr>
      <vt:lpstr>ECL Overseas (6)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Farah Nabila Binti Saifor Adzlan</dc:creator>
  <cp:keywords/>
  <dc:description/>
  <cp:lastModifiedBy>Farah Nabila Binti Saifor Adzlan</cp:lastModifiedBy>
  <cp:revision/>
  <dcterms:created xsi:type="dcterms:W3CDTF">2025-10-31T07:37:43Z</dcterms:created>
  <dcterms:modified xsi:type="dcterms:W3CDTF">2026-04-15T02:03:29Z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0x01010032D138551DCD0147AEF954381F5E97CE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